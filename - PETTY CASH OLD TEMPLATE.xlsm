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150\grn\PETTY CASH\"/>
    </mc:Choice>
  </mc:AlternateContent>
  <xr:revisionPtr revIDLastSave="0" documentId="13_ncr:1_{85E1371F-E526-43C9-AF83-B9519EFF014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0" i="1" l="1"/>
  <c r="G89" i="1"/>
  <c r="G90" i="1"/>
  <c r="G91" i="1"/>
  <c r="G92" i="1"/>
  <c r="G93" i="1"/>
  <c r="G94" i="1"/>
  <c r="G95" i="1"/>
  <c r="G96" i="1"/>
  <c r="G97" i="1"/>
  <c r="G88" i="1"/>
  <c r="G99" i="1" l="1"/>
  <c r="B5" i="1" l="1"/>
  <c r="E12" i="2" l="1"/>
  <c r="C78" i="1"/>
  <c r="B6" i="1" s="1"/>
  <c r="D78" i="1"/>
  <c r="E78" i="1"/>
  <c r="F78" i="1"/>
  <c r="G78" i="1"/>
  <c r="H78" i="1"/>
  <c r="I78" i="1"/>
  <c r="B4" i="3"/>
  <c r="F21" i="2" l="1"/>
  <c r="F25" i="2" s="1"/>
  <c r="E6" i="2"/>
  <c r="H21" i="2"/>
  <c r="E26" i="2"/>
  <c r="E25" i="2"/>
  <c r="E24" i="2"/>
  <c r="E23" i="2"/>
  <c r="E22" i="2"/>
  <c r="E21" i="2"/>
  <c r="C37" i="2"/>
  <c r="H26" i="2"/>
  <c r="H25" i="2"/>
  <c r="H24" i="2"/>
  <c r="H23" i="2"/>
  <c r="H22" i="2"/>
  <c r="C80" i="1"/>
  <c r="H29" i="2" l="1"/>
  <c r="F26" i="2"/>
  <c r="F22" i="2"/>
  <c r="D3" i="1"/>
  <c r="F23" i="2"/>
  <c r="F24" i="2"/>
  <c r="H27" i="2"/>
  <c r="H30" i="2" l="1"/>
</calcChain>
</file>

<file path=xl/sharedStrings.xml><?xml version="1.0" encoding="utf-8"?>
<sst xmlns="http://schemas.openxmlformats.org/spreadsheetml/2006/main" count="68" uniqueCount="54">
  <si>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</si>
  <si>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</si>
  <si>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</si>
  <si>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</si>
  <si>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</si>
  <si>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</si>
  <si>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</si>
  <si>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</si>
  <si>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</si>
  <si>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</si>
  <si>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</si>
  <si>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</si>
  <si>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</si>
  <si>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</si>
  <si>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Balance Deposite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</si>
  <si>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</si>
  <si>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</si>
  <si>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</si>
  <si>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</si>
  <si>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</si>
  <si>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</si>
  <si>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</si>
  <si>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</si>
  <si>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</si>
  <si>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</si>
  <si>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</si>
  <si>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</si>
  <si>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</si>
  <si>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</si>
  <si>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</si>
  <si>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</si>
  <si>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</si>
  <si>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</si>
  <si>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</si>
  <si>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</si>
  <si>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</si>
  <si>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</si>
  <si>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</si>
  <si>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</si>
  <si>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</si>
  <si>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</si>
  <si>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>Bank Deposite</t>
  </si>
  <si>
    <t xml:space="preserve">Name: </t>
  </si>
  <si>
    <t xml:space="preserve">      Approved By</t>
  </si>
  <si>
    <t>Petty Cash Amount</t>
  </si>
  <si>
    <t xml:space="preserve">PICK ME AND OTHER TRANSPORT </t>
  </si>
  <si>
    <t>Travelling &amp; Transport</t>
  </si>
  <si>
    <t>TOTAL</t>
  </si>
  <si>
    <t>CHECK BY GRN : ......................................</t>
  </si>
  <si>
    <t>CHECK BY MANAGER : ......................................</t>
  </si>
  <si>
    <t>Remaining Balance %</t>
  </si>
  <si>
    <t>FULL TOTAL</t>
  </si>
  <si>
    <t>CALCULATOR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</si>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</sst>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8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81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1" fillId="0" borderId="7" xfId="0" applyFont="1" applyBorder="1"/>
    <xf numFmtId="0" fontId="0" fillId="0" borderId="7" xfId="0" applyBorder="1"/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 vertical="top"/>
    </xf>
    <xf numFmtId="0" fontId="1" fillId="2" borderId="7" xfId="0" applyFont="1" applyFill="1" applyBorder="1" applyAlignment="1">
      <alignment horizontal="left" vertical="top"/>
    </xf>
    <xf numFmtId="4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7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top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2" fontId="0" fillId="2" borderId="7" xfId="0" applyNumberForma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00"/>
  <sheetViews>
    <sheetView tabSelected="1" topLeftCell="A74" zoomScaleNormal="100" workbookViewId="0">
      <selection activeCell="G101" sqref="G101"/>
    </sheetView>
  </sheetViews>
  <sheetFormatPr defaultRowHeight="14.4" x14ac:dyDescent="0.3"/>
  <cols>
    <col min="1" max="1" width="18.6640625" customWidth="1"/>
    <col min="2" max="2" width="46" customWidth="1"/>
    <col min="3" max="3" width="23.21875" customWidth="1"/>
    <col min="4" max="4" width="26.6640625" customWidth="1"/>
    <col min="5" max="5" width="16" customWidth="1"/>
    <col min="6" max="6" width="14.4414062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37" t="s">
        <v>1</v>
      </c>
      <c r="C2" s="38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37" t="s">
        <v>19</v>
      </c>
      <c r="C3" s="38"/>
      <c r="D3" s="46" t="str">
        <f>IF(C78=D78+E78+F78+G78+H78+I78,"","ERROR : FILL ALL AREAS CORRECTLY")</f>
        <v/>
      </c>
      <c r="E3" s="46"/>
      <c r="F3" s="1"/>
      <c r="G3" s="1"/>
      <c r="H3" s="1"/>
      <c r="I3" s="1"/>
    </row>
    <row r="4" spans="1:9" ht="15.6" thickTop="1" thickBot="1" x14ac:dyDescent="0.35">
      <c r="A4" s="4" t="s">
        <v>44</v>
      </c>
      <c r="B4" s="37">
        <v>40000</v>
      </c>
      <c r="C4" s="38"/>
      <c r="D4" s="46"/>
      <c r="E4" s="46"/>
      <c r="F4" s="1"/>
      <c r="G4" s="1"/>
      <c r="H4" s="1"/>
      <c r="I4" s="1"/>
    </row>
    <row r="5" spans="1:9" ht="15.6" thickTop="1" thickBot="1" x14ac:dyDescent="0.35">
      <c r="A5" s="4" t="s">
        <v>3</v>
      </c>
      <c r="B5" s="39" t="e">
        <f>LOOKUP(2,1/(A12:A76&lt;&gt;""),A12:A76)</f>
        <v>#N/A</v>
      </c>
      <c r="C5" s="40"/>
      <c r="D5" s="1"/>
      <c r="E5" s="1"/>
      <c r="F5" s="1"/>
      <c r="G5" s="1"/>
      <c r="H5" s="1"/>
      <c r="I5" s="1"/>
    </row>
    <row r="6" spans="1:9" ht="15.6" thickTop="1" thickBot="1" x14ac:dyDescent="0.35">
      <c r="A6" s="4" t="s">
        <v>50</v>
      </c>
      <c r="B6" s="56" t="str">
        <f>(B4-C78)/B4*100 &amp; "%"</f>
        <v>100%</v>
      </c>
      <c r="C6" s="57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47" t="s">
        <v>4</v>
      </c>
      <c r="B9" s="49" t="s">
        <v>5</v>
      </c>
      <c r="C9" s="51" t="s">
        <v>6</v>
      </c>
      <c r="D9" s="53" t="s">
        <v>7</v>
      </c>
      <c r="E9" s="54"/>
      <c r="F9" s="54"/>
      <c r="G9" s="54"/>
      <c r="H9" s="54"/>
      <c r="I9" s="55"/>
    </row>
    <row r="10" spans="1:9" ht="15.6" thickTop="1" thickBot="1" x14ac:dyDescent="0.35">
      <c r="A10" s="48"/>
      <c r="B10" s="50"/>
      <c r="C10" s="52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44"/>
      <c r="B11" s="44"/>
      <c r="C11" s="44"/>
      <c r="D11" s="44"/>
      <c r="E11" s="44"/>
      <c r="F11" s="44"/>
      <c r="G11" s="44"/>
      <c r="H11" s="44"/>
      <c r="I11" s="45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4"/>
      <c r="B14" s="17"/>
      <c r="C14" s="19"/>
      <c r="D14" s="19"/>
      <c r="E14" s="19"/>
      <c r="F14" s="19"/>
      <c r="G14" s="19"/>
      <c r="H14" s="19"/>
      <c r="I14" s="19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0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5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6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0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1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0" spans="1:9" x14ac:dyDescent="0.3">
      <c r="A70" s="15"/>
      <c r="B70" s="18"/>
      <c r="C70" s="20"/>
      <c r="D70" s="20"/>
      <c r="E70" s="20"/>
      <c r="F70" s="20"/>
      <c r="G70" s="20"/>
      <c r="H70" s="20"/>
      <c r="I70" s="20"/>
    </row>
    <row r="71" spans="1:9" x14ac:dyDescent="0.3">
      <c r="A71" s="15"/>
      <c r="B71" s="18"/>
      <c r="C71" s="20"/>
      <c r="D71" s="20"/>
      <c r="E71" s="20"/>
      <c r="F71" s="20"/>
      <c r="G71" s="20"/>
      <c r="H71" s="20"/>
      <c r="I71" s="20"/>
    </row>
    <row r="72" spans="1:9" x14ac:dyDescent="0.3">
      <c r="A72" s="15"/>
      <c r="B72" s="18"/>
      <c r="C72" s="20"/>
      <c r="D72" s="20"/>
      <c r="E72" s="20"/>
      <c r="F72" s="20"/>
      <c r="G72" s="20"/>
      <c r="H72" s="20"/>
      <c r="I72" s="20"/>
    </row>
    <row r="73" spans="1:9" x14ac:dyDescent="0.3">
      <c r="A73" s="15"/>
      <c r="B73" s="18"/>
      <c r="C73" s="20"/>
      <c r="D73" s="20"/>
      <c r="E73" s="20"/>
      <c r="F73" s="20"/>
      <c r="G73" s="20"/>
      <c r="H73" s="20"/>
      <c r="I73" s="20"/>
    </row>
    <row r="74" spans="1:9" x14ac:dyDescent="0.3">
      <c r="A74" s="15"/>
      <c r="B74" s="18"/>
      <c r="C74" s="20"/>
      <c r="D74" s="20"/>
      <c r="E74" s="20"/>
      <c r="F74" s="20"/>
      <c r="G74" s="20"/>
      <c r="H74" s="20"/>
      <c r="I74" s="20"/>
    </row>
    <row r="75" spans="1:9" x14ac:dyDescent="0.3">
      <c r="A75" s="15"/>
      <c r="B75" s="18"/>
      <c r="C75" s="20"/>
      <c r="D75" s="20"/>
      <c r="E75" s="20"/>
      <c r="F75" s="20"/>
      <c r="G75" s="20"/>
      <c r="H75" s="20"/>
      <c r="I75" s="20"/>
    </row>
    <row r="76" spans="1:9" x14ac:dyDescent="0.3">
      <c r="A76" s="15"/>
      <c r="B76" s="18"/>
      <c r="C76" s="20"/>
      <c r="D76" s="20"/>
      <c r="E76" s="20"/>
      <c r="F76" s="20"/>
      <c r="G76" s="20"/>
      <c r="H76" s="20"/>
      <c r="I76" s="20"/>
    </row>
    <row r="78" spans="1:9" ht="16.2" thickBot="1" x14ac:dyDescent="0.35">
      <c r="A78" s="2"/>
      <c r="B78" s="8" t="s">
        <v>15</v>
      </c>
      <c r="C78" s="7">
        <f t="shared" ref="C78:I78" si="0">SUM(C11:C76)</f>
        <v>0</v>
      </c>
      <c r="D78" s="7">
        <f t="shared" si="0"/>
        <v>0</v>
      </c>
      <c r="E78" s="7">
        <f t="shared" si="0"/>
        <v>0</v>
      </c>
      <c r="F78" s="7">
        <f t="shared" si="0"/>
        <v>0</v>
      </c>
      <c r="G78" s="7">
        <f t="shared" si="0"/>
        <v>0</v>
      </c>
      <c r="H78" s="7">
        <f t="shared" si="0"/>
        <v>0</v>
      </c>
      <c r="I78" s="7">
        <f t="shared" si="0"/>
        <v>0</v>
      </c>
    </row>
    <row r="79" spans="1:9" ht="16.2" thickTop="1" x14ac:dyDescent="0.3">
      <c r="A79" s="1"/>
      <c r="B79" s="9"/>
      <c r="C79" s="1"/>
      <c r="D79" s="1"/>
      <c r="E79" s="1"/>
      <c r="F79" s="1"/>
      <c r="G79" s="1"/>
      <c r="H79" s="1"/>
      <c r="I79" s="1"/>
    </row>
    <row r="80" spans="1:9" x14ac:dyDescent="0.3">
      <c r="B80" s="41" t="s">
        <v>14</v>
      </c>
      <c r="C80" s="42">
        <f>B4-C78</f>
        <v>40000</v>
      </c>
    </row>
    <row r="81" spans="1:10" ht="15" thickBot="1" x14ac:dyDescent="0.35">
      <c r="B81" s="41"/>
      <c r="C81" s="43"/>
    </row>
    <row r="82" spans="1:10" ht="15" thickTop="1" x14ac:dyDescent="0.3"/>
    <row r="83" spans="1:10" x14ac:dyDescent="0.3">
      <c r="C83" s="24"/>
      <c r="D83" s="33"/>
    </row>
    <row r="86" spans="1:10" x14ac:dyDescent="0.3">
      <c r="B86" s="35" t="s">
        <v>52</v>
      </c>
      <c r="C86" s="35"/>
      <c r="D86" s="35"/>
      <c r="E86" s="35"/>
      <c r="F86" s="35"/>
      <c r="G86" s="25" t="s">
        <v>47</v>
      </c>
      <c r="H86" s="34"/>
      <c r="J86" s="26"/>
    </row>
    <row r="87" spans="1:10" x14ac:dyDescent="0.3">
      <c r="G87" s="27"/>
    </row>
    <row r="88" spans="1:10" x14ac:dyDescent="0.3">
      <c r="A88" s="28">
        <v>5000</v>
      </c>
      <c r="B88" s="29"/>
      <c r="C88" s="29"/>
      <c r="D88" s="29"/>
      <c r="E88" s="29"/>
      <c r="F88" s="30"/>
      <c r="G88" s="31">
        <f t="shared" ref="G88:G97" si="1">SUM(B88:F88)*A88</f>
        <v>0</v>
      </c>
    </row>
    <row r="89" spans="1:10" x14ac:dyDescent="0.3">
      <c r="A89" s="28">
        <v>1000</v>
      </c>
      <c r="B89" s="29"/>
      <c r="C89" s="29"/>
      <c r="D89" s="29"/>
      <c r="E89" s="29"/>
      <c r="F89" s="30"/>
      <c r="G89" s="31">
        <f t="shared" si="1"/>
        <v>0</v>
      </c>
    </row>
    <row r="90" spans="1:10" x14ac:dyDescent="0.3">
      <c r="A90" s="28">
        <v>500</v>
      </c>
      <c r="B90" s="29"/>
      <c r="C90" s="29"/>
      <c r="D90" s="29"/>
      <c r="E90" s="29"/>
      <c r="F90" s="30"/>
      <c r="G90" s="31">
        <f t="shared" si="1"/>
        <v>0</v>
      </c>
    </row>
    <row r="91" spans="1:10" x14ac:dyDescent="0.3">
      <c r="A91" s="28">
        <v>100</v>
      </c>
      <c r="B91" s="29"/>
      <c r="C91" s="29"/>
      <c r="D91" s="29"/>
      <c r="E91" s="29"/>
      <c r="F91" s="30"/>
      <c r="G91" s="31">
        <f t="shared" si="1"/>
        <v>0</v>
      </c>
    </row>
    <row r="92" spans="1:10" x14ac:dyDescent="0.3">
      <c r="A92" s="28">
        <v>50</v>
      </c>
      <c r="B92" s="29"/>
      <c r="C92" s="29"/>
      <c r="D92" s="29"/>
      <c r="E92" s="29"/>
      <c r="F92" s="30"/>
      <c r="G92" s="31">
        <f t="shared" si="1"/>
        <v>0</v>
      </c>
    </row>
    <row r="93" spans="1:10" x14ac:dyDescent="0.3">
      <c r="A93" s="28">
        <v>20</v>
      </c>
      <c r="B93" s="29"/>
      <c r="C93" s="29"/>
      <c r="D93" s="29"/>
      <c r="E93" s="29"/>
      <c r="F93" s="30"/>
      <c r="G93" s="31">
        <f t="shared" si="1"/>
        <v>0</v>
      </c>
    </row>
    <row r="94" spans="1:10" x14ac:dyDescent="0.3">
      <c r="A94" s="28">
        <v>10</v>
      </c>
      <c r="B94" s="29"/>
      <c r="C94" s="29"/>
      <c r="D94" s="29"/>
      <c r="E94" s="29"/>
      <c r="F94" s="30"/>
      <c r="G94" s="31">
        <f t="shared" si="1"/>
        <v>0</v>
      </c>
    </row>
    <row r="95" spans="1:10" x14ac:dyDescent="0.3">
      <c r="A95" s="28">
        <v>5</v>
      </c>
      <c r="B95" s="29"/>
      <c r="C95" s="29"/>
      <c r="D95" s="29"/>
      <c r="E95" s="29"/>
      <c r="F95" s="30"/>
      <c r="G95" s="31">
        <f t="shared" si="1"/>
        <v>0</v>
      </c>
    </row>
    <row r="96" spans="1:10" x14ac:dyDescent="0.3">
      <c r="A96" s="28">
        <v>2</v>
      </c>
      <c r="B96" s="29"/>
      <c r="C96" s="29"/>
      <c r="D96" s="29"/>
      <c r="E96" s="29"/>
      <c r="F96" s="30"/>
      <c r="G96" s="31">
        <f t="shared" si="1"/>
        <v>0</v>
      </c>
    </row>
    <row r="97" spans="1:10" x14ac:dyDescent="0.3">
      <c r="A97" s="28">
        <v>1</v>
      </c>
      <c r="B97" s="29"/>
      <c r="C97" s="29"/>
      <c r="D97" s="29"/>
      <c r="E97" s="29"/>
      <c r="F97" s="30"/>
      <c r="G97" s="31">
        <f t="shared" si="1"/>
        <v>0</v>
      </c>
    </row>
    <row r="98" spans="1:10" x14ac:dyDescent="0.3">
      <c r="G98" s="27"/>
    </row>
    <row r="99" spans="1:10" ht="15" thickBot="1" x14ac:dyDescent="0.35">
      <c r="B99" s="36" t="s">
        <v>51</v>
      </c>
      <c r="C99" s="36"/>
      <c r="D99" s="36"/>
      <c r="E99" s="36"/>
      <c r="F99" s="36"/>
      <c r="G99" s="32">
        <f>SUM(G88:G97)</f>
        <v>0</v>
      </c>
      <c r="J99" s="33"/>
    </row>
    <row r="100" spans="1:10" ht="15" thickTop="1" x14ac:dyDescent="0.3">
      <c r="B100" s="36" t="s">
        <v>53</v>
      </c>
      <c r="C100" s="36"/>
      <c r="D100" s="36"/>
      <c r="E100" s="36"/>
      <c r="F100" s="36"/>
      <c r="G100" s="33">
        <f>G99-C80</f>
        <v>-40000</v>
      </c>
      <c r="I100" s="33"/>
      <c r="J100" s="33"/>
    </row>
  </sheetData>
  <mergeCells count="16">
    <mergeCell ref="B86:F86"/>
    <mergeCell ref="B99:F99"/>
    <mergeCell ref="B100:F100"/>
    <mergeCell ref="B2:C2"/>
    <mergeCell ref="B3:C3"/>
    <mergeCell ref="B4:C4"/>
    <mergeCell ref="B5:C5"/>
    <mergeCell ref="B80:B81"/>
    <mergeCell ref="C80:C81"/>
    <mergeCell ref="A11:I11"/>
    <mergeCell ref="D3:E4"/>
    <mergeCell ref="A9:A10"/>
    <mergeCell ref="B9:B10"/>
    <mergeCell ref="C9:C10"/>
    <mergeCell ref="D9:I9"/>
    <mergeCell ref="B6:C6"/>
  </mergeCells>
  <conditionalFormatting sqref="D3:E4">
    <cfRule type="cellIs" dxfId="3" priority="7" operator="equal">
      <formula>"ERROR : FILL ALL AREAS CORRECTLY"</formula>
    </cfRule>
  </conditionalFormatting>
  <conditionalFormatting sqref="I100">
    <cfRule type="cellIs" dxfId="2" priority="1" operator="greaterThan">
      <formula>0</formula>
    </cfRule>
    <cfRule type="cellIs" dxfId="1" priority="2" operator="lessThan">
      <formula>0</formula>
    </cfRule>
  </conditionalFormatting>
  <conditionalFormatting sqref="B6:C6">
    <cfRule type="expression" dxfId="0" priority="9">
      <formula>(B4-C78)/B4*100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3"/>
  <sheetViews>
    <sheetView topLeftCell="A14" workbookViewId="0">
      <selection activeCell="M17" sqref="M17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58" t="s">
        <v>16</v>
      </c>
      <c r="B1" s="58"/>
      <c r="C1" s="58"/>
      <c r="D1" s="58"/>
      <c r="E1" s="58"/>
      <c r="F1" s="58"/>
      <c r="G1" s="58"/>
      <c r="H1" s="58"/>
      <c r="I1" s="58"/>
      <c r="J1" s="58"/>
      <c r="K1" s="58"/>
    </row>
    <row r="2" spans="1:11" ht="14.4" customHeight="1" x14ac:dyDescent="0.3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</row>
    <row r="3" spans="1:11" ht="14.4" customHeight="1" x14ac:dyDescent="0.3">
      <c r="A3" s="59" t="s">
        <v>17</v>
      </c>
      <c r="B3" s="59"/>
      <c r="C3" s="59"/>
      <c r="D3" s="59"/>
      <c r="E3" s="59"/>
      <c r="F3" s="59"/>
      <c r="G3" s="59"/>
      <c r="H3" s="59"/>
      <c r="I3" s="59"/>
      <c r="J3" s="59"/>
      <c r="K3" s="59"/>
    </row>
    <row r="4" spans="1:11" ht="14.4" customHeight="1" x14ac:dyDescent="0.3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61" t="s">
        <v>18</v>
      </c>
      <c r="C6" s="61"/>
      <c r="D6" s="61"/>
      <c r="E6" s="63" t="str">
        <f>'Data Sheet'!B3</f>
        <v>Dineth Pansilu</v>
      </c>
      <c r="F6" s="63"/>
      <c r="G6" s="63"/>
      <c r="H6" s="63"/>
      <c r="I6" s="63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21</v>
      </c>
      <c r="C9" s="62"/>
      <c r="D9" s="62"/>
      <c r="E9" s="62"/>
      <c r="F9" s="3"/>
      <c r="G9" s="3" t="s">
        <v>20</v>
      </c>
      <c r="H9" s="62" t="s">
        <v>1</v>
      </c>
      <c r="I9" s="62"/>
      <c r="J9" s="62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61" t="s">
        <v>22</v>
      </c>
      <c r="C12" s="61"/>
      <c r="D12" s="61"/>
      <c r="E12" s="64" t="str">
        <f>'Data Sheet'!B4 &amp; "/="</f>
        <v>40000/=</v>
      </c>
      <c r="F12" s="64"/>
      <c r="G12" s="64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61" t="s">
        <v>23</v>
      </c>
      <c r="C15" s="61"/>
      <c r="D15" s="61"/>
      <c r="E15" s="62" t="s">
        <v>24</v>
      </c>
      <c r="F15" s="62"/>
      <c r="G15" s="62"/>
      <c r="H15" s="62"/>
      <c r="I15" s="62"/>
      <c r="J15" s="62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68" t="s">
        <v>33</v>
      </c>
      <c r="C19" s="68"/>
      <c r="D19" s="68"/>
      <c r="E19" s="68" t="s">
        <v>34</v>
      </c>
      <c r="F19" s="68" t="s">
        <v>35</v>
      </c>
      <c r="G19" s="68"/>
      <c r="H19" s="68" t="s">
        <v>36</v>
      </c>
      <c r="I19" s="68"/>
      <c r="J19" s="68"/>
      <c r="K19" s="3"/>
    </row>
    <row r="20" spans="1:11" x14ac:dyDescent="0.3">
      <c r="A20" s="3"/>
      <c r="B20" s="68"/>
      <c r="C20" s="68"/>
      <c r="D20" s="68"/>
      <c r="E20" s="68"/>
      <c r="F20" s="68"/>
      <c r="G20" s="68"/>
      <c r="H20" s="68"/>
      <c r="I20" s="68"/>
      <c r="J20" s="68"/>
      <c r="K20" s="3"/>
    </row>
    <row r="21" spans="1:11" ht="16.95" customHeight="1" x14ac:dyDescent="0.3">
      <c r="A21" s="3"/>
      <c r="B21" s="73" t="s">
        <v>37</v>
      </c>
      <c r="C21" s="73"/>
      <c r="D21" s="73"/>
      <c r="E21" s="11">
        <f>COUNT('Data Sheet'!D11:D76)</f>
        <v>0</v>
      </c>
      <c r="F21" s="72" t="e">
        <f>TEXT(DATEVALUE(SUBSTITUTE('Data Sheet'!A12,".","/")),"MM.DD") &amp; " TO " &amp; TEXT(DATEVALUE(SUBSTITUTE('Data Sheet'!B5,".","/")),"MM.DD")</f>
        <v>#VALUE!</v>
      </c>
      <c r="G21" s="72"/>
      <c r="H21" s="65">
        <f>'Data Sheet'!D78</f>
        <v>0</v>
      </c>
      <c r="I21" s="66"/>
      <c r="J21" s="66"/>
      <c r="K21" s="3"/>
    </row>
    <row r="22" spans="1:11" ht="16.95" customHeight="1" x14ac:dyDescent="0.3">
      <c r="A22" s="3"/>
      <c r="B22" s="73" t="s">
        <v>38</v>
      </c>
      <c r="C22" s="73"/>
      <c r="D22" s="73"/>
      <c r="E22" s="11">
        <f>COUNT('Data Sheet'!E11:E76)</f>
        <v>0</v>
      </c>
      <c r="F22" s="72" t="e">
        <f>F21</f>
        <v>#VALUE!</v>
      </c>
      <c r="G22" s="72"/>
      <c r="H22" s="65">
        <f>'Data Sheet'!E78</f>
        <v>0</v>
      </c>
      <c r="I22" s="66"/>
      <c r="J22" s="66"/>
      <c r="K22" s="3"/>
    </row>
    <row r="23" spans="1:11" ht="16.95" customHeight="1" x14ac:dyDescent="0.3">
      <c r="A23" s="3"/>
      <c r="B23" s="73" t="s">
        <v>10</v>
      </c>
      <c r="C23" s="73"/>
      <c r="D23" s="73"/>
      <c r="E23" s="11">
        <f>COUNT('Data Sheet'!F11:F76)</f>
        <v>0</v>
      </c>
      <c r="F23" s="74" t="e">
        <f>F21</f>
        <v>#VALUE!</v>
      </c>
      <c r="G23" s="75"/>
      <c r="H23" s="65">
        <f>'Data Sheet'!F78</f>
        <v>0</v>
      </c>
      <c r="I23" s="66"/>
      <c r="J23" s="66"/>
      <c r="K23" s="3"/>
    </row>
    <row r="24" spans="1:11" ht="16.95" customHeight="1" x14ac:dyDescent="0.3">
      <c r="A24" s="3"/>
      <c r="B24" s="73" t="s">
        <v>39</v>
      </c>
      <c r="C24" s="73"/>
      <c r="D24" s="73"/>
      <c r="E24" s="11">
        <f>COUNT('Data Sheet'!G11:G76)</f>
        <v>0</v>
      </c>
      <c r="F24" s="74" t="e">
        <f>F21</f>
        <v>#VALUE!</v>
      </c>
      <c r="G24" s="75"/>
      <c r="H24" s="65">
        <f>'Data Sheet'!G78</f>
        <v>0</v>
      </c>
      <c r="I24" s="66"/>
      <c r="J24" s="66"/>
      <c r="K24" s="3"/>
    </row>
    <row r="25" spans="1:11" ht="16.95" customHeight="1" x14ac:dyDescent="0.3">
      <c r="A25" s="3"/>
      <c r="B25" s="73" t="s">
        <v>12</v>
      </c>
      <c r="C25" s="73"/>
      <c r="D25" s="73"/>
      <c r="E25" s="11">
        <f>COUNT('Data Sheet'!H11:H76)</f>
        <v>0</v>
      </c>
      <c r="F25" s="74" t="e">
        <f>F21</f>
        <v>#VALUE!</v>
      </c>
      <c r="G25" s="75"/>
      <c r="H25" s="65">
        <f>'Data Sheet'!H78</f>
        <v>0</v>
      </c>
      <c r="I25" s="66"/>
      <c r="J25" s="66"/>
      <c r="K25" s="3"/>
    </row>
    <row r="26" spans="1:11" ht="16.95" customHeight="1" x14ac:dyDescent="0.3">
      <c r="A26" s="3"/>
      <c r="B26" s="73" t="s">
        <v>13</v>
      </c>
      <c r="C26" s="73"/>
      <c r="D26" s="73"/>
      <c r="E26" s="11">
        <f>COUNT('Data Sheet'!I11:I76)</f>
        <v>0</v>
      </c>
      <c r="F26" s="74" t="e">
        <f>F21</f>
        <v>#VALUE!</v>
      </c>
      <c r="G26" s="75"/>
      <c r="H26" s="65">
        <f>'Data Sheet'!I78</f>
        <v>0</v>
      </c>
      <c r="I26" s="66"/>
      <c r="J26" s="66"/>
      <c r="K26" s="3"/>
    </row>
    <row r="27" spans="1:11" ht="13.95" customHeight="1" x14ac:dyDescent="0.3">
      <c r="A27" s="3"/>
      <c r="B27" s="76" t="s">
        <v>40</v>
      </c>
      <c r="C27" s="76"/>
      <c r="D27" s="76"/>
      <c r="E27" s="78"/>
      <c r="F27" s="72"/>
      <c r="G27" s="72"/>
      <c r="H27" s="65">
        <f>SUM(H21:J26)</f>
        <v>0</v>
      </c>
      <c r="I27" s="66"/>
      <c r="J27" s="66"/>
      <c r="K27" s="3"/>
    </row>
    <row r="28" spans="1:11" x14ac:dyDescent="0.3">
      <c r="A28" s="3"/>
      <c r="B28" s="76"/>
      <c r="C28" s="76"/>
      <c r="D28" s="76"/>
      <c r="E28" s="79"/>
      <c r="F28" s="72"/>
      <c r="G28" s="72"/>
      <c r="H28" s="66"/>
      <c r="I28" s="66"/>
      <c r="J28" s="66"/>
      <c r="K28" s="3"/>
    </row>
    <row r="29" spans="1:11" ht="16.95" customHeight="1" x14ac:dyDescent="0.3">
      <c r="A29" s="3"/>
      <c r="B29" s="77" t="s">
        <v>41</v>
      </c>
      <c r="C29" s="77"/>
      <c r="D29" s="77"/>
      <c r="E29" s="11"/>
      <c r="F29" s="72"/>
      <c r="G29" s="72"/>
      <c r="H29" s="80">
        <f>'Data Sheet'!C80</f>
        <v>40000</v>
      </c>
      <c r="I29" s="80"/>
      <c r="J29" s="80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69">
        <f>SUM(H27:J29)</f>
        <v>40000</v>
      </c>
      <c r="I30" s="70"/>
      <c r="J30" s="70"/>
      <c r="K30" s="3"/>
    </row>
    <row r="31" spans="1:11" ht="15" thickBot="1" x14ac:dyDescent="0.35">
      <c r="A31" s="3"/>
      <c r="B31" s="3"/>
      <c r="C31" s="3"/>
      <c r="D31" s="3"/>
      <c r="E31" s="3"/>
      <c r="F31" s="3"/>
      <c r="G31" s="3"/>
      <c r="H31" s="71"/>
      <c r="I31" s="71"/>
      <c r="J31" s="71"/>
      <c r="K31" s="3"/>
    </row>
    <row r="32" spans="1:11" ht="15" thickTop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1:1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10.95" customHeight="1" x14ac:dyDescent="0.3">
      <c r="A35" s="3"/>
      <c r="B35" s="62" t="s">
        <v>31</v>
      </c>
      <c r="C35" s="62"/>
      <c r="D35" s="62"/>
      <c r="E35" s="3"/>
      <c r="F35" s="3"/>
      <c r="G35" s="3"/>
      <c r="H35" s="3" t="s">
        <v>31</v>
      </c>
      <c r="I35" s="3"/>
      <c r="J35" s="3"/>
      <c r="K35" s="3"/>
    </row>
    <row r="36" spans="1:11" ht="20.399999999999999" customHeight="1" x14ac:dyDescent="0.3">
      <c r="A36" s="3"/>
      <c r="B36" s="67" t="s">
        <v>30</v>
      </c>
      <c r="C36" s="67"/>
      <c r="D36" s="67"/>
      <c r="E36" s="3"/>
      <c r="F36" s="3"/>
      <c r="G36" s="3"/>
      <c r="H36" s="67" t="s">
        <v>32</v>
      </c>
      <c r="I36" s="67"/>
      <c r="J36" s="67"/>
      <c r="K36" s="3"/>
    </row>
    <row r="37" spans="1:11" x14ac:dyDescent="0.3">
      <c r="A37" s="3"/>
      <c r="B37" s="12" t="s">
        <v>28</v>
      </c>
      <c r="C37" s="61" t="str">
        <f>'Data Sheet'!B3</f>
        <v>Dineth Pansilu</v>
      </c>
      <c r="D37" s="61"/>
      <c r="E37" s="3"/>
      <c r="F37" s="3"/>
      <c r="G37" s="3"/>
      <c r="H37" s="10" t="s">
        <v>42</v>
      </c>
      <c r="I37" s="61" t="s">
        <v>29</v>
      </c>
      <c r="J37" s="61"/>
      <c r="K37" s="13"/>
    </row>
    <row r="38" spans="1:11" x14ac:dyDescent="0.3">
      <c r="A38" s="3"/>
      <c r="B38" s="3"/>
      <c r="C38" s="61" t="s">
        <v>27</v>
      </c>
      <c r="D38" s="61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3">
      <c r="A41" s="3"/>
      <c r="B41" s="62" t="s">
        <v>31</v>
      </c>
      <c r="C41" s="62"/>
      <c r="D41" s="62"/>
      <c r="E41" s="3"/>
      <c r="F41" s="3"/>
      <c r="G41" s="3"/>
      <c r="H41" s="3"/>
      <c r="I41" s="3"/>
      <c r="J41" s="3"/>
      <c r="K41" s="3"/>
    </row>
    <row r="42" spans="1:11" x14ac:dyDescent="0.3">
      <c r="A42" s="3"/>
      <c r="B42" s="61" t="s">
        <v>43</v>
      </c>
      <c r="C42" s="61"/>
      <c r="D42" s="3" t="s">
        <v>25</v>
      </c>
      <c r="E42" s="3"/>
      <c r="F42" s="3"/>
      <c r="G42" s="12" t="s">
        <v>26</v>
      </c>
      <c r="H42" s="3"/>
      <c r="I42" s="3"/>
      <c r="J42" s="3"/>
      <c r="K42" s="3"/>
    </row>
    <row r="43" spans="1:1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</row>
  </sheetData>
  <mergeCells count="48">
    <mergeCell ref="F21:G21"/>
    <mergeCell ref="F22:G22"/>
    <mergeCell ref="F23:G23"/>
    <mergeCell ref="F24:G24"/>
    <mergeCell ref="F25:G25"/>
    <mergeCell ref="B21:D21"/>
    <mergeCell ref="B22:D22"/>
    <mergeCell ref="B23:D23"/>
    <mergeCell ref="B24:D24"/>
    <mergeCell ref="B25:D25"/>
    <mergeCell ref="H22:J22"/>
    <mergeCell ref="H23:J23"/>
    <mergeCell ref="H24:J24"/>
    <mergeCell ref="H25:J25"/>
    <mergeCell ref="B41:D41"/>
    <mergeCell ref="F29:G29"/>
    <mergeCell ref="F27:G28"/>
    <mergeCell ref="B26:D26"/>
    <mergeCell ref="F26:G26"/>
    <mergeCell ref="B27:D28"/>
    <mergeCell ref="B29:D29"/>
    <mergeCell ref="E27:E28"/>
    <mergeCell ref="H36:J36"/>
    <mergeCell ref="I37:J37"/>
    <mergeCell ref="H27:J28"/>
    <mergeCell ref="H29:J29"/>
    <mergeCell ref="B42:C42"/>
    <mergeCell ref="C38:D38"/>
    <mergeCell ref="C37:D37"/>
    <mergeCell ref="B12:D12"/>
    <mergeCell ref="E12:G12"/>
    <mergeCell ref="B15:D15"/>
    <mergeCell ref="E15:J15"/>
    <mergeCell ref="H26:J26"/>
    <mergeCell ref="B36:D36"/>
    <mergeCell ref="B35:D35"/>
    <mergeCell ref="B19:D20"/>
    <mergeCell ref="E19:E20"/>
    <mergeCell ref="F19:G20"/>
    <mergeCell ref="H19:J20"/>
    <mergeCell ref="H30:J31"/>
    <mergeCell ref="H21:J21"/>
    <mergeCell ref="A1:K2"/>
    <mergeCell ref="A3:K4"/>
    <mergeCell ref="B6:D6"/>
    <mergeCell ref="C9:E9"/>
    <mergeCell ref="H9:J9"/>
    <mergeCell ref="E6:I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4"/>
  <sheetViews>
    <sheetView workbookViewId="0">
      <selection activeCell="F17" sqref="F17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37" t="s">
        <v>1</v>
      </c>
      <c r="C2" s="38"/>
    </row>
    <row r="3" spans="1:3" ht="15.6" thickTop="1" thickBot="1" x14ac:dyDescent="0.35">
      <c r="A3" s="5" t="s">
        <v>2</v>
      </c>
      <c r="B3" s="37" t="s">
        <v>19</v>
      </c>
      <c r="C3" s="38"/>
    </row>
    <row r="4" spans="1:3" ht="15.6" thickTop="1" thickBot="1" x14ac:dyDescent="0.35">
      <c r="A4" s="4" t="s">
        <v>3</v>
      </c>
      <c r="B4" s="39" t="e">
        <f>'Data Sheet'!B5</f>
        <v>#N/A</v>
      </c>
      <c r="C4" s="38"/>
    </row>
    <row r="5" spans="1:3" ht="15" thickTop="1" x14ac:dyDescent="0.3"/>
    <row r="6" spans="1:3" x14ac:dyDescent="0.3">
      <c r="A6" s="36" t="s">
        <v>45</v>
      </c>
      <c r="B6" s="36"/>
      <c r="C6" s="36"/>
    </row>
    <row r="7" spans="1:3" x14ac:dyDescent="0.3">
      <c r="A7" s="22" t="s">
        <v>4</v>
      </c>
      <c r="B7" s="22" t="s">
        <v>5</v>
      </c>
      <c r="C7" s="22" t="s">
        <v>46</v>
      </c>
    </row>
    <row r="8" spans="1:3" x14ac:dyDescent="0.3">
      <c r="A8" s="23"/>
      <c r="B8" s="22" t="s">
        <v>47</v>
      </c>
      <c r="C8" s="22">
        <v>0</v>
      </c>
    </row>
    <row r="11" spans="1:3" x14ac:dyDescent="0.3">
      <c r="A11" t="s">
        <v>48</v>
      </c>
    </row>
    <row r="14" spans="1:3" x14ac:dyDescent="0.3">
      <c r="A14" t="s">
        <v>49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2025-08-04T13:42:50Z</dcterms:modified>
</cp:coreProperties>
</file>