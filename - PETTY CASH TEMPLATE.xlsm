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7CDE8880-1FAC-49BF-8662-E1FE4C9A5ED5}" xr6:coauthVersionLast="47" xr6:coauthVersionMax="47" xr10:uidLastSave="{00000000-0000-0000-0000-000000000000}"/>
  <bookViews>
    <workbookView xWindow="-108" yWindow="-108" windowWidth="23256" windowHeight="12576" activeTab="2" xr2:uid="{BCE16831-5007-40BE-A2CF-700C96468C4C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2" i="1" l="1"/>
  <c r="G91" i="1"/>
  <c r="G89" i="1"/>
  <c r="G88" i="1"/>
  <c r="G87" i="1"/>
  <c r="G86" i="1"/>
  <c r="G85" i="1"/>
  <c r="G84" i="1"/>
  <c r="G83" i="1"/>
  <c r="G82" i="1"/>
  <c r="G81" i="1"/>
  <c r="G80" i="1"/>
  <c r="C73" i="1"/>
  <c r="B6" i="1" s="1"/>
  <c r="B5" i="1" a="1"/>
  <c r="B5" i="1" s="1"/>
  <c r="B4" i="3" s="1"/>
  <c r="F21" i="2" l="1"/>
  <c r="F25" i="2" s="1"/>
  <c r="E6" i="2"/>
  <c r="D73" i="1"/>
  <c r="H21" i="2" s="1"/>
  <c r="E26" i="2"/>
  <c r="E25" i="2"/>
  <c r="E24" i="2"/>
  <c r="E23" i="2"/>
  <c r="E22" i="2"/>
  <c r="E21" i="2"/>
  <c r="C34" i="2"/>
  <c r="I73" i="1"/>
  <c r="H26" i="2" s="1"/>
  <c r="H73" i="1"/>
  <c r="H25" i="2" s="1"/>
  <c r="G73" i="1"/>
  <c r="H24" i="2" s="1"/>
  <c r="F73" i="1"/>
  <c r="H23" i="2" s="1"/>
  <c r="E73" i="1"/>
  <c r="H22" i="2" s="1"/>
  <c r="C75" i="1"/>
  <c r="F26" i="2" l="1"/>
  <c r="F22" i="2"/>
  <c r="D4" i="1"/>
  <c r="F23" i="2"/>
  <c r="F24" i="2"/>
  <c r="H27" i="2"/>
  <c r="E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<sst xmlns="http://schemas.openxmlformats.org/spreadsheetml/2006/main" count="63" uniqueCount="52">
  <si>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</si>
  <si>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</si>
  <si>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</si>
  <si>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</si>
  <si>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</si>
  <si>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</si>
  <si>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</si>
  <si>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</si>
  <si>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</si>
  <si>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</si>
  <si>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</si>
  <si>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</si>
  <si>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</si>
  <si>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</si>
  <si>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</si>
  <si>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</si>
  <si>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</si>
  <si>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</si>
  <si>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</si>
  <si>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</si>
  <si>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</si>
  <si>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</si>
  <si>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</si>
  <si>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</si>
  <si>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</si>
  <si>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</si>
  <si>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</si>
  <si>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</si>
  <si>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</si>
  <si>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</si>
  <si>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</si>
  <si>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</si>
  <si>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</si>
  <si>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</si>
  <si>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</si>
  <si>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</si>
  <si>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</si>
  <si>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</si>
  <si>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</si>
  <si>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</si>
  <si>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 xml:space="preserve">Name: </t>
  </si>
  <si>
    <t xml:space="preserve">      Approved By</t>
  </si>
  <si>
    <t>Petty Cash Amount</t>
  </si>
  <si>
    <t xml:space="preserve">PICK ME AND OTHER TRANSPORT </t>
  </si>
  <si>
    <t>CHECK BY GRN : ......................................</t>
  </si>
  <si>
    <t>CHECK BY MANAGER : ......................................</t>
  </si>
  <si>
    <t>Remaining Balance %</t>
  </si>
  <si>
    <t>Balance</t>
  </si>
  <si>
    <t>CALCULATOR</t>
  </si>
  <si>
    <t>TOTAL</t>
  </si>
  <si>
    <t>FULL TOTAL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</si>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</sst>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72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 vertical="top"/>
    </xf>
    <xf numFmtId="0" fontId="1" fillId="2" borderId="7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2" borderId="14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C8D8-98DB-4FD0-8E63-C3564763FA26}">
  <sheetPr codeName="Sheet1">
    <pageSetUpPr fitToPage="1"/>
  </sheetPr>
  <dimension ref="A1:I92"/>
  <sheetViews>
    <sheetView zoomScaleNormal="100" workbookViewId="0">
      <selection activeCell="F6" sqref="F6"/>
    </sheetView>
  </sheetViews>
  <sheetFormatPr defaultRowHeight="14.4" x14ac:dyDescent="0.3"/>
  <cols>
    <col min="1" max="1" width="18.6640625" customWidth="1"/>
    <col min="2" max="2" width="49.109375" customWidth="1"/>
    <col min="3" max="3" width="23.21875" customWidth="1"/>
    <col min="4" max="4" width="26.6640625" customWidth="1"/>
    <col min="5" max="5" width="16" customWidth="1"/>
    <col min="6" max="6" width="14.554687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46" t="s">
        <v>1</v>
      </c>
      <c r="C2" s="47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46" t="s">
        <v>18</v>
      </c>
      <c r="C3" s="47"/>
      <c r="D3" s="1"/>
      <c r="E3" s="1"/>
      <c r="F3" s="1"/>
      <c r="G3" s="1"/>
      <c r="H3" s="1"/>
      <c r="I3" s="1"/>
    </row>
    <row r="4" spans="1:9" ht="15.6" thickTop="1" thickBot="1" x14ac:dyDescent="0.35">
      <c r="A4" s="4" t="s">
        <v>42</v>
      </c>
      <c r="B4" s="46">
        <v>40000</v>
      </c>
      <c r="C4" s="47"/>
      <c r="D4" s="50" t="str">
        <f>IF(C73=D73+E73+F73+G73+H73+I73,"","ERROR : FILL ALL AREAS CORRECTLY")</f>
        <v/>
      </c>
      <c r="E4" s="50"/>
      <c r="F4" s="1"/>
      <c r="G4" s="1"/>
      <c r="H4" s="1"/>
      <c r="I4" s="1"/>
    </row>
    <row r="5" spans="1:9" ht="15.6" thickTop="1" thickBot="1" x14ac:dyDescent="0.35">
      <c r="A5" s="4" t="s">
        <v>3</v>
      </c>
      <c r="B5" s="48" t="e" cm="1">
        <f t="array" ref="B5">LOOKUP(2,1/(A11:A71&lt;&gt;""),A11:A71)</f>
        <v>#N/A</v>
      </c>
      <c r="C5" s="49"/>
      <c r="D5" s="50"/>
      <c r="E5" s="50"/>
      <c r="F5" s="1"/>
      <c r="G5" s="1"/>
      <c r="H5" s="1"/>
      <c r="I5" s="1"/>
    </row>
    <row r="6" spans="1:9" ht="15.6" thickTop="1" thickBot="1" x14ac:dyDescent="0.35">
      <c r="A6" s="4" t="s">
        <v>46</v>
      </c>
      <c r="B6" s="51" t="str">
        <f>(B4-C73)/B4*100 &amp; "%"</f>
        <v>100%</v>
      </c>
      <c r="C6" s="52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30" t="s">
        <v>4</v>
      </c>
      <c r="B9" s="32" t="s">
        <v>5</v>
      </c>
      <c r="C9" s="34" t="s">
        <v>6</v>
      </c>
      <c r="D9" s="36" t="s">
        <v>7</v>
      </c>
      <c r="E9" s="37"/>
      <c r="F9" s="37"/>
      <c r="G9" s="37"/>
      <c r="H9" s="37"/>
      <c r="I9" s="38"/>
    </row>
    <row r="10" spans="1:9" ht="15.6" thickTop="1" thickBot="1" x14ac:dyDescent="0.35">
      <c r="A10" s="31"/>
      <c r="B10" s="33"/>
      <c r="C10" s="35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42"/>
      <c r="B11" s="42"/>
      <c r="C11" s="42"/>
      <c r="D11" s="42"/>
      <c r="E11" s="42"/>
      <c r="F11" s="42"/>
      <c r="G11" s="42"/>
      <c r="H11" s="42"/>
      <c r="I11" s="43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5"/>
      <c r="B14" s="18"/>
      <c r="C14" s="20"/>
      <c r="D14" s="20"/>
      <c r="E14" s="20"/>
      <c r="F14" s="20"/>
      <c r="G14" s="20"/>
      <c r="H14" s="20"/>
      <c r="I14" s="20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F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1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6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5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1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0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0" spans="1:9" x14ac:dyDescent="0.3">
      <c r="A70" s="15"/>
      <c r="B70" s="18"/>
      <c r="C70" s="20"/>
      <c r="D70" s="20"/>
      <c r="E70" s="20"/>
      <c r="F70" s="20"/>
      <c r="G70" s="20"/>
      <c r="H70" s="20"/>
      <c r="I70" s="20"/>
    </row>
    <row r="71" spans="1:9" x14ac:dyDescent="0.3">
      <c r="A71" s="15"/>
      <c r="B71" s="18"/>
      <c r="C71" s="20"/>
      <c r="D71" s="20"/>
      <c r="E71" s="20"/>
      <c r="F71" s="20"/>
      <c r="G71" s="20"/>
      <c r="H71" s="20"/>
      <c r="I71" s="20"/>
    </row>
    <row r="73" spans="1:9" ht="16.2" thickBot="1" x14ac:dyDescent="0.35">
      <c r="A73" s="2"/>
      <c r="B73" s="8" t="s">
        <v>14</v>
      </c>
      <c r="C73" s="7">
        <f t="shared" ref="C73:I73" si="0">SUM(C11:C71)</f>
        <v>0</v>
      </c>
      <c r="D73" s="7">
        <f t="shared" si="0"/>
        <v>0</v>
      </c>
      <c r="E73" s="7">
        <f t="shared" si="0"/>
        <v>0</v>
      </c>
      <c r="F73" s="7">
        <f t="shared" si="0"/>
        <v>0</v>
      </c>
      <c r="G73" s="7">
        <f t="shared" si="0"/>
        <v>0</v>
      </c>
      <c r="H73" s="7">
        <f t="shared" si="0"/>
        <v>0</v>
      </c>
      <c r="I73" s="7">
        <f t="shared" si="0"/>
        <v>0</v>
      </c>
    </row>
    <row r="74" spans="1:9" ht="16.2" thickTop="1" x14ac:dyDescent="0.3">
      <c r="A74" s="1"/>
      <c r="B74" s="9"/>
      <c r="C74" s="1"/>
      <c r="D74" s="1"/>
      <c r="E74" s="1"/>
      <c r="F74" s="1"/>
      <c r="G74" s="1"/>
      <c r="H74" s="1"/>
      <c r="I74" s="1"/>
    </row>
    <row r="75" spans="1:9" x14ac:dyDescent="0.3">
      <c r="B75" s="39" t="s">
        <v>47</v>
      </c>
      <c r="C75" s="40">
        <f>B4-C73</f>
        <v>40000</v>
      </c>
    </row>
    <row r="76" spans="1:9" ht="15" thickBot="1" x14ac:dyDescent="0.35">
      <c r="B76" s="39"/>
      <c r="C76" s="41"/>
    </row>
    <row r="77" spans="1:9" ht="15" thickTop="1" x14ac:dyDescent="0.3"/>
    <row r="78" spans="1:9" x14ac:dyDescent="0.3">
      <c r="B78" s="44" t="s">
        <v>48</v>
      </c>
      <c r="C78" s="44"/>
      <c r="D78" s="44"/>
      <c r="E78" s="44"/>
      <c r="F78" s="44"/>
      <c r="G78" s="22" t="s">
        <v>49</v>
      </c>
    </row>
    <row r="79" spans="1:9" x14ac:dyDescent="0.3">
      <c r="G79" s="23"/>
    </row>
    <row r="80" spans="1:9" x14ac:dyDescent="0.3">
      <c r="A80" s="24">
        <v>5000</v>
      </c>
      <c r="B80" s="25"/>
      <c r="C80" s="25"/>
      <c r="D80" s="25"/>
      <c r="E80" s="25"/>
      <c r="F80" s="26"/>
      <c r="G80" s="27">
        <f t="shared" ref="G80:G89" si="1">SUM(B80:F80)*A80</f>
        <v>0</v>
      </c>
    </row>
    <row r="81" spans="1:7" x14ac:dyDescent="0.3">
      <c r="A81" s="24">
        <v>1000</v>
      </c>
      <c r="B81" s="25"/>
      <c r="C81" s="25"/>
      <c r="D81" s="25"/>
      <c r="E81" s="25"/>
      <c r="F81" s="26"/>
      <c r="G81" s="27">
        <f t="shared" si="1"/>
        <v>0</v>
      </c>
    </row>
    <row r="82" spans="1:7" x14ac:dyDescent="0.3">
      <c r="A82" s="24">
        <v>500</v>
      </c>
      <c r="B82" s="25"/>
      <c r="C82" s="25"/>
      <c r="D82" s="25"/>
      <c r="E82" s="25"/>
      <c r="F82" s="26"/>
      <c r="G82" s="27">
        <f t="shared" si="1"/>
        <v>0</v>
      </c>
    </row>
    <row r="83" spans="1:7" x14ac:dyDescent="0.3">
      <c r="A83" s="24">
        <v>100</v>
      </c>
      <c r="B83" s="25"/>
      <c r="C83" s="25"/>
      <c r="D83" s="25"/>
      <c r="E83" s="25"/>
      <c r="F83" s="26"/>
      <c r="G83" s="27">
        <f t="shared" si="1"/>
        <v>0</v>
      </c>
    </row>
    <row r="84" spans="1:7" x14ac:dyDescent="0.3">
      <c r="A84" s="24">
        <v>50</v>
      </c>
      <c r="B84" s="25"/>
      <c r="C84" s="25"/>
      <c r="D84" s="25"/>
      <c r="E84" s="25"/>
      <c r="F84" s="26"/>
      <c r="G84" s="27">
        <f t="shared" si="1"/>
        <v>0</v>
      </c>
    </row>
    <row r="85" spans="1:7" x14ac:dyDescent="0.3">
      <c r="A85" s="24">
        <v>20</v>
      </c>
      <c r="B85" s="25"/>
      <c r="C85" s="25"/>
      <c r="D85" s="25"/>
      <c r="E85" s="25"/>
      <c r="F85" s="26"/>
      <c r="G85" s="27">
        <f t="shared" si="1"/>
        <v>0</v>
      </c>
    </row>
    <row r="86" spans="1:7" x14ac:dyDescent="0.3">
      <c r="A86" s="24">
        <v>10</v>
      </c>
      <c r="B86" s="25"/>
      <c r="C86" s="25"/>
      <c r="D86" s="25"/>
      <c r="E86" s="25"/>
      <c r="F86" s="26"/>
      <c r="G86" s="27">
        <f t="shared" si="1"/>
        <v>0</v>
      </c>
    </row>
    <row r="87" spans="1:7" x14ac:dyDescent="0.3">
      <c r="A87" s="24">
        <v>5</v>
      </c>
      <c r="B87" s="25"/>
      <c r="C87" s="25"/>
      <c r="D87" s="25"/>
      <c r="E87" s="25"/>
      <c r="F87" s="26"/>
      <c r="G87" s="27">
        <f t="shared" si="1"/>
        <v>0</v>
      </c>
    </row>
    <row r="88" spans="1:7" x14ac:dyDescent="0.3">
      <c r="A88" s="24">
        <v>2</v>
      </c>
      <c r="B88" s="25"/>
      <c r="C88" s="25"/>
      <c r="D88" s="25"/>
      <c r="E88" s="25"/>
      <c r="F88" s="26"/>
      <c r="G88" s="27">
        <f t="shared" si="1"/>
        <v>0</v>
      </c>
    </row>
    <row r="89" spans="1:7" x14ac:dyDescent="0.3">
      <c r="A89" s="24">
        <v>1</v>
      </c>
      <c r="B89" s="25"/>
      <c r="C89" s="25"/>
      <c r="D89" s="25"/>
      <c r="E89" s="25"/>
      <c r="F89" s="26"/>
      <c r="G89" s="27">
        <f t="shared" si="1"/>
        <v>0</v>
      </c>
    </row>
    <row r="90" spans="1:7" x14ac:dyDescent="0.3">
      <c r="G90" s="23"/>
    </row>
    <row r="91" spans="1:7" ht="15" thickBot="1" x14ac:dyDescent="0.35">
      <c r="B91" s="45" t="s">
        <v>50</v>
      </c>
      <c r="C91" s="45"/>
      <c r="D91" s="45"/>
      <c r="E91" s="45"/>
      <c r="F91" s="45"/>
      <c r="G91" s="28">
        <f>SUM(G80:G89)</f>
        <v>0</v>
      </c>
    </row>
    <row r="92" spans="1:7" ht="15" thickTop="1" x14ac:dyDescent="0.3">
      <c r="B92" s="45" t="s">
        <v>51</v>
      </c>
      <c r="C92" s="45"/>
      <c r="D92" s="45"/>
      <c r="E92" s="45"/>
      <c r="F92" s="45"/>
      <c r="G92" s="29">
        <f>G91-C75</f>
        <v>-40000</v>
      </c>
    </row>
  </sheetData>
  <mergeCells count="16">
    <mergeCell ref="B78:F78"/>
    <mergeCell ref="B91:F91"/>
    <mergeCell ref="B92:F92"/>
    <mergeCell ref="B2:C2"/>
    <mergeCell ref="B3:C3"/>
    <mergeCell ref="B4:C4"/>
    <mergeCell ref="B5:C5"/>
    <mergeCell ref="D4:E5"/>
    <mergeCell ref="B6:C6"/>
    <mergeCell ref="A9:A10"/>
    <mergeCell ref="B9:B10"/>
    <mergeCell ref="C9:C10"/>
    <mergeCell ref="D9:I9"/>
    <mergeCell ref="B75:B76"/>
    <mergeCell ref="C75:C76"/>
    <mergeCell ref="A11:I11"/>
  </mergeCells>
  <conditionalFormatting sqref="D4:E5">
    <cfRule type="cellIs" dxfId="2" priority="5" operator="equal">
      <formula>"ERROR : FILL ALL AREAS CORRECTLY"</formula>
    </cfRule>
  </conditionalFormatting>
  <conditionalFormatting sqref="A12:I71 A11">
    <cfRule type="expression" dxfId="1" priority="4">
      <formula>$D11&lt;&gt;""</formula>
    </cfRule>
  </conditionalFormatting>
  <conditionalFormatting sqref="B6:C6">
    <cfRule type="expression" dxfId="0" priority="1">
      <formula>(B4-C73)/B4*100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8D6-5566-45D3-8FE7-681BB6CB0A4E}">
  <sheetPr codeName="Sheet2"/>
  <dimension ref="A1:K40"/>
  <sheetViews>
    <sheetView workbookViewId="0">
      <selection activeCell="Q11" sqref="Q11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53" t="s">
        <v>15</v>
      </c>
      <c r="B1" s="53"/>
      <c r="C1" s="53"/>
      <c r="D1" s="53"/>
      <c r="E1" s="53"/>
      <c r="F1" s="53"/>
      <c r="G1" s="53"/>
      <c r="H1" s="53"/>
      <c r="I1" s="53"/>
      <c r="J1" s="53"/>
      <c r="K1" s="53"/>
    </row>
    <row r="2" spans="1:11" ht="14.4" customHeight="1" x14ac:dyDescent="0.3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1" ht="14.4" customHeight="1" x14ac:dyDescent="0.3">
      <c r="A3" s="54" t="s">
        <v>16</v>
      </c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1" ht="14.4" customHeight="1" x14ac:dyDescent="0.3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56" t="s">
        <v>17</v>
      </c>
      <c r="C6" s="56"/>
      <c r="D6" s="56"/>
      <c r="E6" s="58" t="str">
        <f>'Data Sheet'!B3</f>
        <v>Dineth Pansilu</v>
      </c>
      <c r="F6" s="58"/>
      <c r="G6" s="58"/>
      <c r="H6" s="58"/>
      <c r="I6" s="58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20</v>
      </c>
      <c r="C9" s="57"/>
      <c r="D9" s="57"/>
      <c r="E9" s="57"/>
      <c r="F9" s="3"/>
      <c r="G9" s="3" t="s">
        <v>19</v>
      </c>
      <c r="H9" s="57" t="s">
        <v>1</v>
      </c>
      <c r="I9" s="57"/>
      <c r="J9" s="57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56" t="s">
        <v>21</v>
      </c>
      <c r="C12" s="56"/>
      <c r="D12" s="56"/>
      <c r="E12" s="59" t="str">
        <f>H27 &amp; "/="</f>
        <v>0/=</v>
      </c>
      <c r="F12" s="59"/>
      <c r="G12" s="59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56" t="s">
        <v>22</v>
      </c>
      <c r="C15" s="56"/>
      <c r="D15" s="56"/>
      <c r="E15" s="57" t="s">
        <v>23</v>
      </c>
      <c r="F15" s="57"/>
      <c r="G15" s="57"/>
      <c r="H15" s="57"/>
      <c r="I15" s="57"/>
      <c r="J15" s="57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63" t="s">
        <v>32</v>
      </c>
      <c r="C19" s="63"/>
      <c r="D19" s="63"/>
      <c r="E19" s="63" t="s">
        <v>33</v>
      </c>
      <c r="F19" s="63" t="s">
        <v>34</v>
      </c>
      <c r="G19" s="63"/>
      <c r="H19" s="63" t="s">
        <v>35</v>
      </c>
      <c r="I19" s="63"/>
      <c r="J19" s="63"/>
      <c r="K19" s="3"/>
    </row>
    <row r="20" spans="1:11" x14ac:dyDescent="0.3">
      <c r="A20" s="3"/>
      <c r="B20" s="63"/>
      <c r="C20" s="63"/>
      <c r="D20" s="63"/>
      <c r="E20" s="63"/>
      <c r="F20" s="63"/>
      <c r="G20" s="63"/>
      <c r="H20" s="63"/>
      <c r="I20" s="63"/>
      <c r="J20" s="63"/>
      <c r="K20" s="3"/>
    </row>
    <row r="21" spans="1:11" ht="16.8" customHeight="1" x14ac:dyDescent="0.3">
      <c r="A21" s="3"/>
      <c r="B21" s="65" t="s">
        <v>36</v>
      </c>
      <c r="C21" s="65"/>
      <c r="D21" s="65"/>
      <c r="E21" s="11">
        <f>COUNT('Data Sheet'!D11:D71)</f>
        <v>0</v>
      </c>
      <c r="F21" s="64" t="e">
        <f>TEXT(DATEVALUE(SUBSTITUTE('Data Sheet'!A12,".","/")),"MM.DD") &amp; " TO " &amp; TEXT(DATEVALUE(SUBSTITUTE('Data Sheet'!B5,".","/")),"MM.DD")</f>
        <v>#VALUE!</v>
      </c>
      <c r="G21" s="64"/>
      <c r="H21" s="60">
        <f>'Data Sheet'!D73</f>
        <v>0</v>
      </c>
      <c r="I21" s="61"/>
      <c r="J21" s="61"/>
      <c r="K21" s="3"/>
    </row>
    <row r="22" spans="1:11" ht="16.8" customHeight="1" x14ac:dyDescent="0.3">
      <c r="A22" s="3"/>
      <c r="B22" s="65" t="s">
        <v>37</v>
      </c>
      <c r="C22" s="65"/>
      <c r="D22" s="65"/>
      <c r="E22" s="11">
        <f>COUNT('Data Sheet'!E11:E71)</f>
        <v>0</v>
      </c>
      <c r="F22" s="64" t="e">
        <f>F21</f>
        <v>#VALUE!</v>
      </c>
      <c r="G22" s="64"/>
      <c r="H22" s="60">
        <f>'Data Sheet'!E73</f>
        <v>0</v>
      </c>
      <c r="I22" s="61"/>
      <c r="J22" s="61"/>
      <c r="K22" s="3"/>
    </row>
    <row r="23" spans="1:11" ht="16.8" customHeight="1" x14ac:dyDescent="0.3">
      <c r="A23" s="3"/>
      <c r="B23" s="65" t="s">
        <v>10</v>
      </c>
      <c r="C23" s="65"/>
      <c r="D23" s="65"/>
      <c r="E23" s="11">
        <f>COUNT('Data Sheet'!F11:F71)</f>
        <v>0</v>
      </c>
      <c r="F23" s="66" t="e">
        <f>F21</f>
        <v>#VALUE!</v>
      </c>
      <c r="G23" s="67"/>
      <c r="H23" s="60">
        <f>'Data Sheet'!F73</f>
        <v>0</v>
      </c>
      <c r="I23" s="61"/>
      <c r="J23" s="61"/>
      <c r="K23" s="3"/>
    </row>
    <row r="24" spans="1:11" ht="16.8" customHeight="1" x14ac:dyDescent="0.3">
      <c r="A24" s="3"/>
      <c r="B24" s="65" t="s">
        <v>38</v>
      </c>
      <c r="C24" s="65"/>
      <c r="D24" s="65"/>
      <c r="E24" s="11">
        <f>COUNT('Data Sheet'!G11:G71)</f>
        <v>0</v>
      </c>
      <c r="F24" s="66" t="e">
        <f>F21</f>
        <v>#VALUE!</v>
      </c>
      <c r="G24" s="67"/>
      <c r="H24" s="60">
        <f>'Data Sheet'!G73</f>
        <v>0</v>
      </c>
      <c r="I24" s="61"/>
      <c r="J24" s="61"/>
      <c r="K24" s="3"/>
    </row>
    <row r="25" spans="1:11" ht="16.8" customHeight="1" x14ac:dyDescent="0.3">
      <c r="A25" s="3"/>
      <c r="B25" s="65" t="s">
        <v>12</v>
      </c>
      <c r="C25" s="65"/>
      <c r="D25" s="65"/>
      <c r="E25" s="11">
        <f>COUNT('Data Sheet'!H11:H71)</f>
        <v>0</v>
      </c>
      <c r="F25" s="66" t="e">
        <f>F21</f>
        <v>#VALUE!</v>
      </c>
      <c r="G25" s="67"/>
      <c r="H25" s="60">
        <f>'Data Sheet'!H73</f>
        <v>0</v>
      </c>
      <c r="I25" s="61"/>
      <c r="J25" s="61"/>
      <c r="K25" s="3"/>
    </row>
    <row r="26" spans="1:11" ht="16.8" customHeight="1" x14ac:dyDescent="0.3">
      <c r="A26" s="3"/>
      <c r="B26" s="65" t="s">
        <v>13</v>
      </c>
      <c r="C26" s="65"/>
      <c r="D26" s="65"/>
      <c r="E26" s="11">
        <f>COUNT('Data Sheet'!I11:I71)</f>
        <v>0</v>
      </c>
      <c r="F26" s="66" t="e">
        <f>F21</f>
        <v>#VALUE!</v>
      </c>
      <c r="G26" s="67"/>
      <c r="H26" s="60">
        <f>'Data Sheet'!I73</f>
        <v>0</v>
      </c>
      <c r="I26" s="61"/>
      <c r="J26" s="61"/>
      <c r="K26" s="3"/>
    </row>
    <row r="27" spans="1:11" ht="13.8" customHeight="1" x14ac:dyDescent="0.3">
      <c r="A27" s="3"/>
      <c r="B27" s="68" t="s">
        <v>39</v>
      </c>
      <c r="C27" s="68"/>
      <c r="D27" s="68"/>
      <c r="E27" s="69"/>
      <c r="F27" s="64"/>
      <c r="G27" s="64"/>
      <c r="H27" s="60">
        <f>SUM(H21:J26)</f>
        <v>0</v>
      </c>
      <c r="I27" s="61"/>
      <c r="J27" s="61"/>
      <c r="K27" s="3"/>
    </row>
    <row r="28" spans="1:11" ht="15" thickBot="1" x14ac:dyDescent="0.35">
      <c r="A28" s="3"/>
      <c r="B28" s="68"/>
      <c r="C28" s="68"/>
      <c r="D28" s="68"/>
      <c r="E28" s="70"/>
      <c r="F28" s="64"/>
      <c r="G28" s="64"/>
      <c r="H28" s="71"/>
      <c r="I28" s="71"/>
      <c r="J28" s="71"/>
      <c r="K28" s="3"/>
    </row>
    <row r="29" spans="1:11" ht="15" thickTop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0.8" customHeight="1" x14ac:dyDescent="0.3">
      <c r="A32" s="3"/>
      <c r="B32" s="57" t="s">
        <v>30</v>
      </c>
      <c r="C32" s="57"/>
      <c r="D32" s="57"/>
      <c r="E32" s="3"/>
      <c r="F32" s="3"/>
      <c r="G32" s="3"/>
      <c r="H32" s="3" t="s">
        <v>30</v>
      </c>
      <c r="I32" s="3"/>
      <c r="J32" s="3"/>
      <c r="K32" s="3"/>
    </row>
    <row r="33" spans="1:11" ht="20.399999999999999" customHeight="1" x14ac:dyDescent="0.3">
      <c r="A33" s="3"/>
      <c r="B33" s="62" t="s">
        <v>29</v>
      </c>
      <c r="C33" s="62"/>
      <c r="D33" s="62"/>
      <c r="E33" s="3"/>
      <c r="F33" s="3"/>
      <c r="G33" s="3"/>
      <c r="H33" s="62" t="s">
        <v>31</v>
      </c>
      <c r="I33" s="62"/>
      <c r="J33" s="62"/>
      <c r="K33" s="3"/>
    </row>
    <row r="34" spans="1:11" x14ac:dyDescent="0.3">
      <c r="A34" s="3"/>
      <c r="B34" s="12" t="s">
        <v>27</v>
      </c>
      <c r="C34" s="56" t="str">
        <f>'Data Sheet'!B3</f>
        <v>Dineth Pansilu</v>
      </c>
      <c r="D34" s="56"/>
      <c r="E34" s="3"/>
      <c r="F34" s="3"/>
      <c r="G34" s="3"/>
      <c r="H34" s="10" t="s">
        <v>40</v>
      </c>
      <c r="I34" s="56" t="s">
        <v>28</v>
      </c>
      <c r="J34" s="56"/>
      <c r="K34" s="13"/>
    </row>
    <row r="35" spans="1:11" x14ac:dyDescent="0.3">
      <c r="A35" s="3"/>
      <c r="B35" s="3"/>
      <c r="C35" s="56" t="s">
        <v>26</v>
      </c>
      <c r="D35" s="56"/>
      <c r="E35" s="3"/>
      <c r="F35" s="3"/>
      <c r="G35" s="3"/>
      <c r="H35" s="3"/>
      <c r="I35" s="3"/>
      <c r="J35" s="3"/>
      <c r="K35" s="3"/>
    </row>
    <row r="36" spans="1:1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3">
      <c r="A38" s="3"/>
      <c r="B38" s="57" t="s">
        <v>30</v>
      </c>
      <c r="C38" s="57"/>
      <c r="D38" s="57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56" t="s">
        <v>41</v>
      </c>
      <c r="C39" s="56"/>
      <c r="D39" s="3" t="s">
        <v>24</v>
      </c>
      <c r="E39" s="3"/>
      <c r="F39" s="3"/>
      <c r="G39" s="12" t="s">
        <v>25</v>
      </c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</sheetData>
  <mergeCells count="44">
    <mergeCell ref="F21:G21"/>
    <mergeCell ref="F22:G22"/>
    <mergeCell ref="F23:G23"/>
    <mergeCell ref="F24:G24"/>
    <mergeCell ref="F25:G25"/>
    <mergeCell ref="B21:D21"/>
    <mergeCell ref="B22:D22"/>
    <mergeCell ref="B23:D23"/>
    <mergeCell ref="B24:D24"/>
    <mergeCell ref="B25:D25"/>
    <mergeCell ref="H23:J23"/>
    <mergeCell ref="H24:J24"/>
    <mergeCell ref="H25:J25"/>
    <mergeCell ref="B38:D38"/>
    <mergeCell ref="F27:G28"/>
    <mergeCell ref="B26:D26"/>
    <mergeCell ref="F26:G26"/>
    <mergeCell ref="B27:D28"/>
    <mergeCell ref="E27:E28"/>
    <mergeCell ref="H33:J33"/>
    <mergeCell ref="I34:J34"/>
    <mergeCell ref="H27:J28"/>
    <mergeCell ref="B39:C39"/>
    <mergeCell ref="C35:D35"/>
    <mergeCell ref="C34:D34"/>
    <mergeCell ref="B12:D12"/>
    <mergeCell ref="E12:G12"/>
    <mergeCell ref="B15:D15"/>
    <mergeCell ref="E15:J15"/>
    <mergeCell ref="H26:J26"/>
    <mergeCell ref="B33:D33"/>
    <mergeCell ref="B32:D32"/>
    <mergeCell ref="B19:D20"/>
    <mergeCell ref="E19:E20"/>
    <mergeCell ref="F19:G20"/>
    <mergeCell ref="H19:J20"/>
    <mergeCell ref="H21:J21"/>
    <mergeCell ref="H22:J22"/>
    <mergeCell ref="A1:K2"/>
    <mergeCell ref="A3:K4"/>
    <mergeCell ref="B6:D6"/>
    <mergeCell ref="C9:E9"/>
    <mergeCell ref="H9:J9"/>
    <mergeCell ref="E6:I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0823-E4D3-47DE-9DC0-4F21C1F8DC65}">
  <sheetPr codeName="Sheet3"/>
  <dimension ref="A1:C12"/>
  <sheetViews>
    <sheetView tabSelected="1" workbookViewId="0">
      <selection activeCell="K9" sqref="K9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46" t="s">
        <v>1</v>
      </c>
      <c r="C2" s="47"/>
    </row>
    <row r="3" spans="1:3" ht="15.6" thickTop="1" thickBot="1" x14ac:dyDescent="0.35">
      <c r="A3" s="5" t="s">
        <v>2</v>
      </c>
      <c r="B3" s="46" t="s">
        <v>18</v>
      </c>
      <c r="C3" s="47"/>
    </row>
    <row r="4" spans="1:3" ht="15.6" thickTop="1" thickBot="1" x14ac:dyDescent="0.35">
      <c r="A4" s="4" t="s">
        <v>3</v>
      </c>
      <c r="B4" s="48" t="e">
        <f>'Data Sheet'!B5</f>
        <v>#N/A</v>
      </c>
      <c r="C4" s="47"/>
    </row>
    <row r="5" spans="1:3" ht="15" thickTop="1" x14ac:dyDescent="0.3"/>
    <row r="6" spans="1:3" x14ac:dyDescent="0.3">
      <c r="A6" s="45" t="s">
        <v>43</v>
      </c>
      <c r="B6" s="45"/>
      <c r="C6" s="45"/>
    </row>
    <row r="9" spans="1:3" x14ac:dyDescent="0.3">
      <c r="A9" t="s">
        <v>44</v>
      </c>
    </row>
    <row r="12" spans="1:3" x14ac:dyDescent="0.3">
      <c r="A12" t="s">
        <v>45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2025-08-04T15:28:38Z</dcterms:modified>
</cp:coreProperties>
</file>