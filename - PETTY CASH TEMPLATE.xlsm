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neth Pansilu\Desktop\FLI-SUPER\"/>
    </mc:Choice>
  </mc:AlternateContent>
  <xr:revisionPtr revIDLastSave="0" documentId="13_ncr:1_{299A6771-9013-4C82-BFCE-6D46391CFC12}" xr6:coauthVersionLast="47" xr6:coauthVersionMax="47" xr10:uidLastSave="{00000000-0000-0000-0000-000000000000}"/>
  <bookViews>
    <workbookView xWindow="-108" yWindow="-108" windowWidth="23256" windowHeight="12576" activeTab="2" xr2:uid="{BCE16831-5007-40BE-A2CF-700C96468C4C}"/>
  </bookViews>
  <sheets>
    <sheet name="Data Sheet" sheetId="1" r:id="rId1"/>
    <sheet name="Forum" sheetId="2" r:id="rId2"/>
    <sheet name="Trans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2" i="1" l="1"/>
  <c r="G91" i="1"/>
  <c r="G89" i="1"/>
  <c r="G88" i="1"/>
  <c r="G87" i="1"/>
  <c r="G86" i="1"/>
  <c r="G85" i="1"/>
  <c r="G84" i="1"/>
  <c r="G83" i="1"/>
  <c r="G82" i="1"/>
  <c r="G81" i="1"/>
  <c r="G80" i="1"/>
  <c r="C73" i="1"/>
  <c r="B6" i="1" s="1"/>
  <c r="B5" i="1" a="1"/>
  <c r="B5" i="1" s="1"/>
  <c r="B4" i="3" s="1"/>
  <c r="F21" i="2" l="1"/>
  <c r="F25" i="2" s="1"/>
  <c r="E6" i="2"/>
  <c r="D73" i="1"/>
  <c r="H21" i="2" s="1"/>
  <c r="E26" i="2"/>
  <c r="E25" i="2"/>
  <c r="E24" i="2"/>
  <c r="E23" i="2"/>
  <c r="E22" i="2"/>
  <c r="E21" i="2"/>
  <c r="C34" i="2"/>
  <c r="I73" i="1"/>
  <c r="H26" i="2" s="1"/>
  <c r="H73" i="1"/>
  <c r="H25" i="2" s="1"/>
  <c r="G73" i="1"/>
  <c r="H24" i="2" s="1"/>
  <c r="F73" i="1"/>
  <c r="H23" i="2" s="1"/>
  <c r="E73" i="1"/>
  <c r="H22" i="2" s="1"/>
  <c r="C75" i="1"/>
  <c r="F26" i="2" l="1"/>
  <c r="F22" i="2"/>
  <c r="D4" i="1"/>
  <c r="F23" i="2"/>
  <c r="F24" i="2"/>
  <c r="H27" i="2"/>
  <c r="E1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<sst xmlns="http://schemas.openxmlformats.org/spreadsheetml/2006/main" count="63" uniqueCount="52">
  <si>
    <t>Location</t>
  </si>
  <si>
    <t>HUNUPITIYA</t>
  </si>
  <si>
    <t>Name of Requster</t>
  </si>
  <si>
    <t>Date Of Requset</t>
  </si>
  <si>
    <t>Date</t>
  </si>
  <si>
    <t>Description</t>
  </si>
  <si>
    <t>Total Payments</t>
  </si>
  <si>
    <t>Analysis Columns</t>
  </si>
  <si>
    <t>Traveling &amp; Transport</t>
  </si>
  <si>
    <t>Refrshment</t>
  </si>
  <si>
    <t>Stationary</t>
  </si>
  <si>
    <t>Repair</t>
  </si>
  <si>
    <t>Casual Salary</t>
  </si>
  <si>
    <t>Others</t>
  </si>
  <si>
    <t>Total</t>
  </si>
  <si>
    <t>CASH ADVANCE SETTLEMENT FORM</t>
  </si>
  <si>
    <t>FLI TRADING PVT LTD</t>
  </si>
  <si>
    <t>01. Cash Advance Taken By :</t>
  </si>
  <si>
    <t>Dineth Pansilu</t>
  </si>
  <si>
    <t>03. Location :</t>
  </si>
  <si>
    <t>02. EMP No:</t>
  </si>
  <si>
    <t>04. Amount of Cash Advance :</t>
  </si>
  <si>
    <t>05. Reason For Cash Advance :</t>
  </si>
  <si>
    <t>PETTY CASH</t>
  </si>
  <si>
    <t xml:space="preserve">Name : </t>
  </si>
  <si>
    <t>Designation :</t>
  </si>
  <si>
    <t>GRN Officer</t>
  </si>
  <si>
    <t>Name:</t>
  </si>
  <si>
    <t>Madawa Perera</t>
  </si>
  <si>
    <t>Taken By</t>
  </si>
  <si>
    <t>….......................................</t>
  </si>
  <si>
    <t>Checked By Manager</t>
  </si>
  <si>
    <t>Expense Category</t>
  </si>
  <si>
    <t>No of Bill</t>
  </si>
  <si>
    <t>Date Range</t>
  </si>
  <si>
    <t>Amount</t>
  </si>
  <si>
    <t>Travelling &amp; Transport Expenses</t>
  </si>
  <si>
    <t>Refreshment</t>
  </si>
  <si>
    <t>Repair &amp; Maintain</t>
  </si>
  <si>
    <t>Total Expenses</t>
  </si>
  <si>
    <t xml:space="preserve">Name: </t>
  </si>
  <si>
    <t xml:space="preserve">      Approved By</t>
  </si>
  <si>
    <t>Petty Cash Amount</t>
  </si>
  <si>
    <t xml:space="preserve">PICK ME AND OTHER TRANSPORT </t>
  </si>
  <si>
    <t>CHECK BY GRN : ......................................</t>
  </si>
  <si>
    <t>CHECK BY MANAGER : ......................................</t>
  </si>
  <si>
    <t>Remaining Balance %</t>
  </si>
  <si>
    <t>Balance</t>
  </si>
  <si>
    <t>CALCULATOR</t>
  </si>
  <si>
    <t>TOTAL</t>
  </si>
  <si>
    <t>FULL TOTAL</t>
  </si>
  <si>
    <t>DEFFERENCE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</si>
</sst>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rgb="FF000000"/>
      <name val="Aptos Narrow"/>
      <family val="2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double">
        <color rgb="FF00B0F0"/>
      </bottom>
      <diagonal/>
    </border>
  </borders>
  <cellStyleXfs count="1">
    <xf numFmtId="0" fontId="0" fillId="0" borderId="0"/>
  </cellStyleXfs>
  <cellXfs count="72">
    <xf numFmtId="0" fontId="0" fillId="0" borderId="0" xfId="0"/>
    <xf numFmtId="4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4" fontId="0" fillId="2" borderId="1" xfId="0" applyNumberFormat="1" applyFill="1" applyBorder="1"/>
    <xf numFmtId="164" fontId="0" fillId="2" borderId="1" xfId="0" applyNumberFormat="1" applyFill="1" applyBorder="1"/>
    <xf numFmtId="4" fontId="1" fillId="2" borderId="1" xfId="0" applyNumberFormat="1" applyFont="1" applyFill="1" applyBorder="1"/>
    <xf numFmtId="4" fontId="0" fillId="2" borderId="11" xfId="0" applyNumberFormat="1" applyFill="1" applyBorder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4" fontId="0" fillId="0" borderId="8" xfId="0" applyNumberFormat="1" applyBorder="1" applyAlignment="1">
      <alignment horizontal="right" vertical="center"/>
    </xf>
    <xf numFmtId="14" fontId="0" fillId="0" borderId="10" xfId="0" applyNumberFormat="1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" fontId="0" fillId="0" borderId="9" xfId="0" applyNumberFormat="1" applyBorder="1" applyAlignment="1">
      <alignment horizontal="right" vertical="center"/>
    </xf>
    <xf numFmtId="4" fontId="0" fillId="0" borderId="7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5" borderId="7" xfId="0" applyFill="1" applyBorder="1"/>
    <xf numFmtId="0" fontId="0" fillId="5" borderId="16" xfId="0" applyFill="1" applyBorder="1"/>
    <xf numFmtId="4" fontId="0" fillId="0" borderId="0" xfId="0" applyNumberFormat="1" applyAlignment="1">
      <alignment horizontal="right"/>
    </xf>
    <xf numFmtId="4" fontId="0" fillId="6" borderId="19" xfId="0" applyNumberFormat="1" applyFill="1" applyBorder="1" applyAlignment="1">
      <alignment horizontal="right"/>
    </xf>
    <xf numFmtId="4" fontId="0" fillId="0" borderId="0" xfId="0" applyNumberFormat="1"/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64" fontId="1" fillId="2" borderId="4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right" vertical="center"/>
    </xf>
    <xf numFmtId="0" fontId="0" fillId="2" borderId="16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" fillId="2" borderId="7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left"/>
    </xf>
    <xf numFmtId="0" fontId="0" fillId="2" borderId="14" xfId="0" applyFill="1" applyBorder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0" fontId="1" fillId="2" borderId="7" xfId="0" applyFont="1" applyFill="1" applyBorder="1" applyAlignment="1">
      <alignment horizontal="left" vertical="top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4</xdr:row>
      <xdr:rowOff>76200</xdr:rowOff>
    </xdr:from>
    <xdr:to>
      <xdr:col>9</xdr:col>
      <xdr:colOff>7620</xdr:colOff>
      <xdr:row>6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4FABEF-5AB3-90E8-F2DF-B3551E4B2882}"/>
            </a:ext>
          </a:extLst>
        </xdr:cNvPr>
        <xdr:cNvSpPr/>
      </xdr:nvSpPr>
      <xdr:spPr>
        <a:xfrm>
          <a:off x="2004060" y="990600"/>
          <a:ext cx="3078480" cy="4191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</xdr:colOff>
      <xdr:row>7</xdr:row>
      <xdr:rowOff>121920</xdr:rowOff>
    </xdr:from>
    <xdr:to>
      <xdr:col>5</xdr:col>
      <xdr:colOff>266700</xdr:colOff>
      <xdr:row>9</xdr:row>
      <xdr:rowOff>99060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F49E4D-4F26-F87C-0A18-23F07A6FAC0A}"/>
            </a:ext>
          </a:extLst>
        </xdr:cNvPr>
        <xdr:cNvSpPr/>
      </xdr:nvSpPr>
      <xdr:spPr>
        <a:xfrm>
          <a:off x="876300" y="158496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</xdr:colOff>
      <xdr:row>7</xdr:row>
      <xdr:rowOff>114300</xdr:rowOff>
    </xdr:from>
    <xdr:to>
      <xdr:col>9</xdr:col>
      <xdr:colOff>601980</xdr:colOff>
      <xdr:row>9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39B603-0D8F-47DA-B51B-4FB9DDF5ADBD}"/>
            </a:ext>
          </a:extLst>
        </xdr:cNvPr>
        <xdr:cNvSpPr/>
      </xdr:nvSpPr>
      <xdr:spPr>
        <a:xfrm>
          <a:off x="4076700" y="1577340"/>
          <a:ext cx="18059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518160</xdr:colOff>
      <xdr:row>10</xdr:row>
      <xdr:rowOff>121920</xdr:rowOff>
    </xdr:from>
    <xdr:to>
      <xdr:col>7</xdr:col>
      <xdr:colOff>99060</xdr:colOff>
      <xdr:row>12</xdr:row>
      <xdr:rowOff>99060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B6333C-0BF6-46F3-885F-A28615E30843}"/>
            </a:ext>
          </a:extLst>
        </xdr:cNvPr>
        <xdr:cNvSpPr/>
      </xdr:nvSpPr>
      <xdr:spPr>
        <a:xfrm>
          <a:off x="2087880" y="213360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563880</xdr:colOff>
      <xdr:row>13</xdr:row>
      <xdr:rowOff>99060</xdr:rowOff>
    </xdr:from>
    <xdr:to>
      <xdr:col>9</xdr:col>
      <xdr:colOff>594360</xdr:colOff>
      <xdr:row>15</xdr:row>
      <xdr:rowOff>121920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E3546-1D93-4782-8112-333945E02519}"/>
            </a:ext>
          </a:extLst>
        </xdr:cNvPr>
        <xdr:cNvSpPr/>
      </xdr:nvSpPr>
      <xdr:spPr>
        <a:xfrm>
          <a:off x="2133600" y="2659380"/>
          <a:ext cx="3741420" cy="38862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3</xdr:row>
          <xdr:rowOff>144780</xdr:rowOff>
        </xdr:from>
        <xdr:to>
          <xdr:col>12</xdr:col>
          <xdr:colOff>121920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C8D8-98DB-4FD0-8E63-C3564763FA26}">
  <sheetPr codeName="Sheet1">
    <pageSetUpPr fitToPage="1"/>
  </sheetPr>
  <dimension ref="A1:I92"/>
  <sheetViews>
    <sheetView zoomScaleNormal="100" workbookViewId="0">
      <selection activeCell="F6" sqref="F6"/>
    </sheetView>
  </sheetViews>
  <sheetFormatPr defaultRowHeight="14.4" x14ac:dyDescent="0.3"/>
  <cols>
    <col min="1" max="1" width="18.6640625" customWidth="1"/>
    <col min="2" max="2" width="49.109375" customWidth="1"/>
    <col min="3" max="3" width="23.21875" customWidth="1"/>
    <col min="4" max="4" width="26.6640625" customWidth="1"/>
    <col min="5" max="5" width="16" customWidth="1"/>
    <col min="6" max="6" width="14.5546875" customWidth="1"/>
    <col min="7" max="7" width="14.33203125" customWidth="1"/>
    <col min="8" max="8" width="20" customWidth="1"/>
    <col min="9" max="9" width="23.44140625" customWidth="1"/>
  </cols>
  <sheetData>
    <row r="1" spans="1:9" ht="15" thickBot="1" x14ac:dyDescent="0.35">
      <c r="A1" s="3"/>
      <c r="B1" s="3"/>
      <c r="C1" s="1"/>
      <c r="D1" s="1"/>
      <c r="E1" s="1"/>
      <c r="F1" s="1"/>
      <c r="G1" s="1"/>
      <c r="H1" s="1"/>
      <c r="I1" s="1"/>
    </row>
    <row r="2" spans="1:9" ht="15.6" thickTop="1" thickBot="1" x14ac:dyDescent="0.35">
      <c r="A2" s="4" t="s">
        <v>0</v>
      </c>
      <c r="B2" s="32" t="s">
        <v>1</v>
      </c>
      <c r="C2" s="33"/>
      <c r="D2" s="1"/>
      <c r="E2" s="1"/>
      <c r="F2" s="1"/>
      <c r="G2" s="1"/>
      <c r="H2" s="1"/>
      <c r="I2" s="1"/>
    </row>
    <row r="3" spans="1:9" ht="15.6" thickTop="1" thickBot="1" x14ac:dyDescent="0.35">
      <c r="A3" s="5" t="s">
        <v>2</v>
      </c>
      <c r="B3" s="32" t="s">
        <v>18</v>
      </c>
      <c r="C3" s="33"/>
      <c r="D3" s="1"/>
      <c r="E3" s="1"/>
      <c r="F3" s="1"/>
      <c r="G3" s="1"/>
      <c r="H3" s="1"/>
      <c r="I3" s="1"/>
    </row>
    <row r="4" spans="1:9" ht="15.6" thickTop="1" thickBot="1" x14ac:dyDescent="0.35">
      <c r="A4" s="4" t="s">
        <v>42</v>
      </c>
      <c r="B4" s="32">
        <v>40000</v>
      </c>
      <c r="C4" s="33"/>
      <c r="D4" s="36" t="str">
        <f>IF(C73=D73+E73+F73+G73+H73+I73,"","ERROR : FILL ALL AREAS CORRECTLY")</f>
        <v/>
      </c>
      <c r="E4" s="36"/>
      <c r="F4" s="1"/>
      <c r="G4" s="1"/>
      <c r="H4" s="1"/>
      <c r="I4" s="1"/>
    </row>
    <row r="5" spans="1:9" ht="15.6" thickTop="1" thickBot="1" x14ac:dyDescent="0.35">
      <c r="A5" s="4" t="s">
        <v>3</v>
      </c>
      <c r="B5" s="34" t="e" cm="1">
        <f t="array" ref="B5">LOOKUP(2,1/(A11:A71&lt;&gt;""),A11:A71)</f>
        <v>#N/A</v>
      </c>
      <c r="C5" s="35"/>
      <c r="D5" s="36"/>
      <c r="E5" s="36"/>
      <c r="F5" s="1"/>
      <c r="G5" s="1"/>
      <c r="H5" s="1"/>
      <c r="I5" s="1"/>
    </row>
    <row r="6" spans="1:9" ht="15.6" thickTop="1" thickBot="1" x14ac:dyDescent="0.35">
      <c r="A6" s="4" t="s">
        <v>46</v>
      </c>
      <c r="B6" s="37" t="str">
        <f>(B4-C73)/B4*100 &amp; "%"</f>
        <v>100%</v>
      </c>
      <c r="C6" s="38"/>
      <c r="D6" s="1"/>
      <c r="E6" s="1"/>
      <c r="F6" s="1"/>
      <c r="G6" s="1"/>
      <c r="H6" s="1"/>
      <c r="I6" s="1"/>
    </row>
    <row r="7" spans="1:9" ht="15" thickTop="1" x14ac:dyDescent="0.3">
      <c r="A7" s="2"/>
      <c r="B7" s="3"/>
      <c r="C7" s="1"/>
      <c r="D7" s="1"/>
      <c r="E7" s="1"/>
      <c r="F7" s="1"/>
      <c r="G7" s="1"/>
      <c r="H7" s="1"/>
      <c r="I7" s="1"/>
    </row>
    <row r="8" spans="1:9" ht="15" thickBot="1" x14ac:dyDescent="0.35">
      <c r="A8" s="2"/>
      <c r="B8" s="3"/>
      <c r="C8" s="1"/>
      <c r="D8" s="1"/>
      <c r="E8" s="1"/>
      <c r="F8" s="1"/>
      <c r="G8" s="1"/>
      <c r="H8" s="1"/>
      <c r="I8" s="1"/>
    </row>
    <row r="9" spans="1:9" ht="15.6" thickTop="1" thickBot="1" x14ac:dyDescent="0.35">
      <c r="A9" s="39" t="s">
        <v>4</v>
      </c>
      <c r="B9" s="41" t="s">
        <v>5</v>
      </c>
      <c r="C9" s="43" t="s">
        <v>6</v>
      </c>
      <c r="D9" s="45" t="s">
        <v>7</v>
      </c>
      <c r="E9" s="46"/>
      <c r="F9" s="46"/>
      <c r="G9" s="46"/>
      <c r="H9" s="46"/>
      <c r="I9" s="47"/>
    </row>
    <row r="10" spans="1:9" ht="15.6" thickTop="1" thickBot="1" x14ac:dyDescent="0.35">
      <c r="A10" s="40"/>
      <c r="B10" s="42"/>
      <c r="C10" s="44"/>
      <c r="D10" s="6" t="s">
        <v>8</v>
      </c>
      <c r="E10" s="6" t="s">
        <v>9</v>
      </c>
      <c r="F10" s="6" t="s">
        <v>10</v>
      </c>
      <c r="G10" s="6" t="s">
        <v>11</v>
      </c>
      <c r="H10" s="6" t="s">
        <v>12</v>
      </c>
      <c r="I10" s="6" t="s">
        <v>13</v>
      </c>
    </row>
    <row r="11" spans="1:9" ht="15" thickTop="1" x14ac:dyDescent="0.3">
      <c r="A11" s="51"/>
      <c r="B11" s="51"/>
      <c r="C11" s="51"/>
      <c r="D11" s="51"/>
      <c r="E11" s="51"/>
      <c r="F11" s="51"/>
      <c r="G11" s="51"/>
      <c r="H11" s="51"/>
      <c r="I11" s="52"/>
    </row>
    <row r="12" spans="1:9" x14ac:dyDescent="0.3">
      <c r="A12" s="14"/>
      <c r="B12" s="17"/>
      <c r="C12" s="19"/>
      <c r="D12" s="19"/>
      <c r="E12" s="19"/>
      <c r="F12" s="19"/>
      <c r="G12" s="19"/>
      <c r="H12" s="19"/>
      <c r="I12" s="19"/>
    </row>
    <row r="13" spans="1:9" x14ac:dyDescent="0.3">
      <c r="A13" s="14"/>
      <c r="B13" s="17"/>
      <c r="C13" s="19"/>
      <c r="D13" s="19"/>
      <c r="E13" s="19"/>
      <c r="F13" s="19"/>
      <c r="G13" s="19"/>
      <c r="H13" s="19"/>
      <c r="I13" s="19"/>
    </row>
    <row r="14" spans="1:9" x14ac:dyDescent="0.3">
      <c r="A14" s="15"/>
      <c r="B14" s="18"/>
      <c r="C14" s="20"/>
      <c r="D14" s="20"/>
      <c r="E14" s="20"/>
      <c r="F14" s="20"/>
      <c r="G14" s="20"/>
      <c r="H14" s="20"/>
      <c r="I14" s="20"/>
    </row>
    <row r="15" spans="1:9" x14ac:dyDescent="0.3">
      <c r="A15" s="15"/>
      <c r="B15" s="18"/>
      <c r="C15" s="20"/>
      <c r="D15" s="20"/>
      <c r="E15" s="20"/>
      <c r="F15" s="20"/>
      <c r="G15" s="20"/>
      <c r="H15" s="20"/>
      <c r="I15" s="20"/>
    </row>
    <row r="16" spans="1:9" x14ac:dyDescent="0.3">
      <c r="A16" s="15"/>
      <c r="B16" s="18"/>
      <c r="C16" s="20"/>
      <c r="D16" s="20"/>
      <c r="E16" s="20"/>
      <c r="F16" s="20"/>
      <c r="G16" s="20"/>
      <c r="H16" s="20"/>
      <c r="I16" s="20"/>
    </row>
    <row r="17" spans="1:9" x14ac:dyDescent="0.3">
      <c r="A17" s="15"/>
      <c r="B17" s="18"/>
      <c r="C17" s="20"/>
      <c r="D17" s="20"/>
      <c r="E17" s="20"/>
      <c r="F17" s="20"/>
      <c r="G17" s="20"/>
      <c r="H17" s="20"/>
      <c r="I17" s="20"/>
    </row>
    <row r="18" spans="1:9" x14ac:dyDescent="0.3">
      <c r="A18" s="15"/>
      <c r="B18" s="18"/>
      <c r="C18" s="20"/>
      <c r="D18" s="20"/>
      <c r="E18" s="20"/>
      <c r="F18" s="20"/>
      <c r="G18" s="20"/>
      <c r="H18" s="20"/>
      <c r="I18" s="20"/>
    </row>
    <row r="19" spans="1:9" x14ac:dyDescent="0.3">
      <c r="A19" s="15"/>
      <c r="B19" s="18"/>
      <c r="C19" s="20"/>
      <c r="D19" s="20"/>
      <c r="E19" s="20"/>
      <c r="F19" s="20"/>
      <c r="G19" s="20"/>
      <c r="H19" s="20"/>
      <c r="I19" s="20"/>
    </row>
    <row r="20" spans="1:9" x14ac:dyDescent="0.3">
      <c r="A20" s="15"/>
      <c r="B20" s="18"/>
      <c r="C20" s="20"/>
      <c r="D20" s="20"/>
      <c r="E20" s="20"/>
      <c r="F20" s="20"/>
      <c r="G20" s="20"/>
      <c r="H20" s="20"/>
      <c r="I20" s="20"/>
    </row>
    <row r="21" spans="1:9" x14ac:dyDescent="0.3">
      <c r="A21" s="15"/>
      <c r="B21" s="18"/>
      <c r="C21" s="20"/>
      <c r="D21" s="20"/>
      <c r="E21" s="20"/>
      <c r="F21" s="20"/>
      <c r="G21" s="20"/>
      <c r="H21" s="20"/>
      <c r="I21" s="20"/>
    </row>
    <row r="22" spans="1:9" x14ac:dyDescent="0.3">
      <c r="A22" s="15"/>
      <c r="B22" s="18"/>
      <c r="C22" s="20"/>
      <c r="D22" s="20"/>
      <c r="E22" s="20"/>
      <c r="F22" s="20"/>
      <c r="G22" s="20"/>
      <c r="H22" s="20"/>
      <c r="I22" s="20"/>
    </row>
    <row r="23" spans="1:9" x14ac:dyDescent="0.3">
      <c r="A23" s="15"/>
      <c r="B23" s="18"/>
      <c r="C23" s="20"/>
      <c r="D23" s="20"/>
      <c r="E23" s="20"/>
      <c r="F23" s="20"/>
      <c r="G23" s="20"/>
      <c r="H23" s="20"/>
      <c r="I23" s="20"/>
    </row>
    <row r="24" spans="1:9" x14ac:dyDescent="0.3">
      <c r="A24" s="15"/>
      <c r="B24" s="18"/>
      <c r="C24" s="20"/>
      <c r="D24" s="20"/>
      <c r="E24" s="20"/>
      <c r="F24" s="20"/>
      <c r="G24" s="20"/>
      <c r="H24" s="20"/>
      <c r="I24" s="20"/>
    </row>
    <row r="25" spans="1:9" x14ac:dyDescent="0.3">
      <c r="A25" s="15"/>
      <c r="B25" s="18"/>
      <c r="C25" s="20"/>
      <c r="D25" s="20"/>
      <c r="E25" s="20"/>
      <c r="F25" s="20"/>
      <c r="G25" s="20"/>
      <c r="H25" s="20"/>
      <c r="I25" s="20"/>
    </row>
    <row r="26" spans="1:9" x14ac:dyDescent="0.3">
      <c r="A26" s="15"/>
      <c r="B26" s="18"/>
      <c r="C26" s="20"/>
      <c r="D26" s="20"/>
      <c r="E26" s="20"/>
      <c r="F26" s="20"/>
      <c r="G26" s="20"/>
      <c r="H26" s="20"/>
      <c r="I26" s="20"/>
    </row>
    <row r="27" spans="1:9" x14ac:dyDescent="0.3">
      <c r="A27" s="15"/>
      <c r="B27" s="18"/>
      <c r="C27" s="20"/>
      <c r="D27" s="20"/>
      <c r="E27" s="20"/>
      <c r="F27" s="20"/>
      <c r="G27" s="20"/>
      <c r="H27" s="20"/>
      <c r="I27" s="20"/>
    </row>
    <row r="28" spans="1:9" x14ac:dyDescent="0.3">
      <c r="A28" s="15"/>
      <c r="B28" s="18"/>
      <c r="C28" s="20"/>
      <c r="D28" s="20"/>
      <c r="E28" s="20"/>
      <c r="F28" s="20"/>
      <c r="G28" s="20"/>
      <c r="H28" s="20"/>
      <c r="I28" s="20"/>
    </row>
    <row r="29" spans="1:9" x14ac:dyDescent="0.3">
      <c r="A29" s="15"/>
      <c r="B29" s="18"/>
      <c r="C29" s="20"/>
      <c r="D29" s="20"/>
      <c r="E29" s="21"/>
      <c r="F29" s="20"/>
      <c r="G29" s="20"/>
      <c r="H29" s="20"/>
      <c r="I29" s="20"/>
    </row>
    <row r="30" spans="1:9" x14ac:dyDescent="0.3">
      <c r="A30" s="15"/>
      <c r="B30" s="18"/>
      <c r="C30" s="20"/>
      <c r="D30" s="20"/>
      <c r="E30" s="20"/>
      <c r="F30" s="20"/>
      <c r="G30" s="20"/>
      <c r="H30" s="20"/>
      <c r="I30" s="20"/>
    </row>
    <row r="31" spans="1:9" x14ac:dyDescent="0.3">
      <c r="A31" s="15"/>
      <c r="B31" s="18"/>
      <c r="C31" s="20"/>
      <c r="D31" s="20"/>
      <c r="E31" s="20"/>
      <c r="F31" s="20"/>
      <c r="G31" s="20"/>
      <c r="H31" s="20"/>
      <c r="I31" s="20"/>
    </row>
    <row r="32" spans="1:9" x14ac:dyDescent="0.3">
      <c r="A32" s="15"/>
      <c r="B32" s="18"/>
      <c r="C32" s="20"/>
      <c r="D32" s="20"/>
      <c r="E32" s="20"/>
      <c r="F32" s="20"/>
      <c r="G32" s="20"/>
      <c r="H32" s="20"/>
      <c r="I32" s="20"/>
    </row>
    <row r="33" spans="1:9" x14ac:dyDescent="0.3">
      <c r="A33" s="15"/>
      <c r="B33" s="18"/>
      <c r="C33" s="20"/>
      <c r="D33" s="20"/>
      <c r="E33" s="20"/>
      <c r="F33" s="20"/>
      <c r="G33" s="20"/>
      <c r="H33" s="20"/>
      <c r="I33" s="20"/>
    </row>
    <row r="34" spans="1:9" x14ac:dyDescent="0.3">
      <c r="A34" s="15"/>
      <c r="B34" s="18"/>
      <c r="C34" s="20"/>
      <c r="D34" s="20"/>
      <c r="E34" s="20"/>
      <c r="F34" s="20"/>
      <c r="G34" s="20"/>
      <c r="H34" s="20"/>
      <c r="I34" s="20"/>
    </row>
    <row r="35" spans="1:9" x14ac:dyDescent="0.3">
      <c r="A35" s="15"/>
      <c r="B35" s="18"/>
      <c r="C35" s="20"/>
      <c r="D35" s="20"/>
      <c r="E35" s="20"/>
      <c r="F35" s="20"/>
      <c r="G35" s="20"/>
      <c r="H35" s="20"/>
      <c r="I35" s="20"/>
    </row>
    <row r="36" spans="1:9" x14ac:dyDescent="0.3">
      <c r="A36" s="15"/>
      <c r="B36" s="18"/>
      <c r="C36" s="20"/>
      <c r="D36" s="20"/>
      <c r="E36" s="20"/>
      <c r="F36" s="20"/>
      <c r="G36" s="20"/>
      <c r="H36" s="20"/>
      <c r="I36" s="20"/>
    </row>
    <row r="37" spans="1:9" x14ac:dyDescent="0.3">
      <c r="A37" s="15"/>
      <c r="B37" s="18"/>
      <c r="C37" s="20"/>
      <c r="D37" s="20"/>
      <c r="E37" s="20"/>
      <c r="F37" s="20"/>
      <c r="G37" s="20"/>
      <c r="H37" s="20"/>
      <c r="I37" s="20"/>
    </row>
    <row r="38" spans="1:9" x14ac:dyDescent="0.3">
      <c r="A38" s="15"/>
      <c r="B38" s="18"/>
      <c r="C38" s="20"/>
      <c r="D38" s="20"/>
      <c r="E38" s="20"/>
      <c r="F38" s="20"/>
      <c r="G38" s="20"/>
      <c r="H38" s="20"/>
      <c r="I38" s="20"/>
    </row>
    <row r="39" spans="1:9" x14ac:dyDescent="0.3">
      <c r="A39" s="15"/>
      <c r="B39" s="18"/>
      <c r="C39" s="20"/>
      <c r="D39" s="20"/>
      <c r="E39" s="20"/>
      <c r="F39" s="20"/>
      <c r="G39" s="20"/>
      <c r="H39" s="20"/>
      <c r="I39" s="20"/>
    </row>
    <row r="40" spans="1:9" x14ac:dyDescent="0.3">
      <c r="A40" s="15"/>
      <c r="B40" s="18"/>
      <c r="C40" s="20"/>
      <c r="D40" s="20"/>
      <c r="E40" s="20"/>
      <c r="F40" s="20"/>
      <c r="G40" s="20"/>
      <c r="H40" s="20"/>
      <c r="I40" s="20"/>
    </row>
    <row r="41" spans="1:9" x14ac:dyDescent="0.3">
      <c r="A41" s="15"/>
      <c r="B41" s="18"/>
      <c r="C41" s="20"/>
      <c r="D41" s="20"/>
      <c r="E41" s="20"/>
      <c r="F41" s="20"/>
      <c r="G41" s="20"/>
      <c r="H41" s="20"/>
      <c r="I41" s="20"/>
    </row>
    <row r="42" spans="1:9" x14ac:dyDescent="0.3">
      <c r="A42" s="15"/>
      <c r="B42" s="18"/>
      <c r="C42" s="20"/>
      <c r="D42" s="20"/>
      <c r="E42" s="20"/>
      <c r="F42" s="20"/>
      <c r="G42" s="20"/>
      <c r="H42" s="20"/>
      <c r="I42" s="20"/>
    </row>
    <row r="43" spans="1:9" x14ac:dyDescent="0.3">
      <c r="A43" s="15"/>
      <c r="B43" s="18"/>
      <c r="C43" s="20"/>
      <c r="D43" s="20"/>
      <c r="E43" s="20"/>
      <c r="F43" s="20"/>
      <c r="G43" s="20"/>
      <c r="H43" s="20"/>
      <c r="I43" s="20"/>
    </row>
    <row r="44" spans="1:9" x14ac:dyDescent="0.3">
      <c r="A44" s="15"/>
      <c r="B44" s="18"/>
      <c r="C44" s="20"/>
      <c r="D44" s="20"/>
      <c r="E44" s="20"/>
      <c r="F44" s="20"/>
      <c r="G44" s="20"/>
      <c r="H44" s="20"/>
      <c r="I44" s="20"/>
    </row>
    <row r="45" spans="1:9" x14ac:dyDescent="0.3">
      <c r="A45" s="15"/>
      <c r="B45" s="18"/>
      <c r="C45" s="20"/>
      <c r="D45" s="20"/>
      <c r="E45" s="20"/>
      <c r="F45" s="20"/>
      <c r="G45" s="20"/>
      <c r="H45" s="20"/>
      <c r="I45" s="20"/>
    </row>
    <row r="46" spans="1:9" x14ac:dyDescent="0.3">
      <c r="A46" s="15"/>
      <c r="B46" s="18"/>
      <c r="C46" s="20"/>
      <c r="D46" s="20"/>
      <c r="E46" s="20"/>
      <c r="F46" s="20"/>
      <c r="G46" s="20"/>
      <c r="H46" s="20"/>
      <c r="I46" s="20"/>
    </row>
    <row r="47" spans="1:9" x14ac:dyDescent="0.3">
      <c r="A47" s="15"/>
      <c r="B47" s="18"/>
      <c r="C47" s="20"/>
      <c r="D47" s="20"/>
      <c r="E47" s="20"/>
      <c r="F47" s="20"/>
      <c r="G47" s="20"/>
      <c r="H47" s="20"/>
      <c r="I47" s="20"/>
    </row>
    <row r="48" spans="1:9" x14ac:dyDescent="0.3">
      <c r="A48" s="15"/>
      <c r="B48" s="18"/>
      <c r="C48" s="20"/>
      <c r="D48" s="20"/>
      <c r="E48" s="20"/>
      <c r="F48" s="20"/>
      <c r="G48" s="20"/>
      <c r="H48" s="20"/>
      <c r="I48" s="20"/>
    </row>
    <row r="49" spans="1:9" x14ac:dyDescent="0.3">
      <c r="A49" s="16"/>
      <c r="B49" s="18"/>
      <c r="C49" s="20"/>
      <c r="D49" s="20"/>
      <c r="E49" s="20"/>
      <c r="F49" s="20"/>
      <c r="G49" s="20"/>
      <c r="H49" s="20"/>
      <c r="I49" s="20"/>
    </row>
    <row r="50" spans="1:9" x14ac:dyDescent="0.3">
      <c r="A50" s="15"/>
      <c r="B50" s="18"/>
      <c r="C50" s="20"/>
      <c r="D50" s="20"/>
      <c r="E50" s="20"/>
      <c r="F50" s="20"/>
      <c r="G50" s="20"/>
      <c r="H50" s="20"/>
      <c r="I50" s="20"/>
    </row>
    <row r="51" spans="1:9" x14ac:dyDescent="0.3">
      <c r="A51" s="15"/>
      <c r="B51" s="18"/>
      <c r="C51" s="20"/>
      <c r="D51" s="20"/>
      <c r="E51" s="20"/>
      <c r="F51" s="20"/>
      <c r="G51" s="20"/>
      <c r="H51" s="20"/>
      <c r="I51" s="20"/>
    </row>
    <row r="52" spans="1:9" x14ac:dyDescent="0.3">
      <c r="A52" s="15"/>
      <c r="B52" s="18"/>
      <c r="C52" s="20"/>
      <c r="D52" s="20"/>
      <c r="E52" s="20"/>
      <c r="F52" s="20"/>
      <c r="G52" s="20"/>
      <c r="H52" s="20"/>
      <c r="I52" s="20"/>
    </row>
    <row r="53" spans="1:9" x14ac:dyDescent="0.3">
      <c r="A53" s="15"/>
      <c r="B53" s="18"/>
      <c r="C53" s="20"/>
      <c r="D53" s="20"/>
      <c r="E53" s="20"/>
      <c r="F53" s="20"/>
      <c r="G53" s="20"/>
      <c r="H53" s="20"/>
      <c r="I53" s="20"/>
    </row>
    <row r="54" spans="1:9" x14ac:dyDescent="0.3">
      <c r="A54" s="15"/>
      <c r="B54" s="18"/>
      <c r="C54" s="20"/>
      <c r="D54" s="20"/>
      <c r="E54" s="20"/>
      <c r="F54" s="20"/>
      <c r="G54" s="20"/>
      <c r="H54" s="20"/>
      <c r="I54" s="20"/>
    </row>
    <row r="55" spans="1:9" x14ac:dyDescent="0.3">
      <c r="A55" s="15"/>
      <c r="B55" s="18"/>
      <c r="C55" s="20"/>
      <c r="D55" s="20"/>
      <c r="E55" s="20"/>
      <c r="F55" s="20"/>
      <c r="G55" s="20"/>
      <c r="H55" s="20"/>
      <c r="I55" s="20"/>
    </row>
    <row r="56" spans="1:9" x14ac:dyDescent="0.3">
      <c r="A56" s="15"/>
      <c r="B56" s="18"/>
      <c r="C56" s="20"/>
      <c r="D56" s="20"/>
      <c r="E56" s="20"/>
      <c r="F56" s="20"/>
      <c r="G56" s="20"/>
      <c r="H56" s="20"/>
      <c r="I56" s="20"/>
    </row>
    <row r="57" spans="1:9" x14ac:dyDescent="0.3">
      <c r="A57" s="15"/>
      <c r="B57" s="18"/>
      <c r="C57" s="20"/>
      <c r="D57" s="20"/>
      <c r="E57" s="20"/>
      <c r="F57" s="20"/>
      <c r="G57" s="20"/>
      <c r="H57" s="20"/>
      <c r="I57" s="20"/>
    </row>
    <row r="58" spans="1:9" x14ac:dyDescent="0.3">
      <c r="A58" s="15"/>
      <c r="B58" s="18"/>
      <c r="C58" s="20"/>
      <c r="D58" s="20"/>
      <c r="E58" s="20"/>
      <c r="F58" s="20"/>
      <c r="G58" s="20"/>
      <c r="H58" s="20"/>
      <c r="I58" s="20"/>
    </row>
    <row r="59" spans="1:9" x14ac:dyDescent="0.3">
      <c r="A59" s="15"/>
      <c r="B59" s="18"/>
      <c r="C59" s="20"/>
      <c r="D59" s="20"/>
      <c r="E59" s="20"/>
      <c r="F59" s="20"/>
      <c r="G59" s="20"/>
      <c r="H59" s="20"/>
      <c r="I59" s="20"/>
    </row>
    <row r="60" spans="1:9" x14ac:dyDescent="0.3">
      <c r="A60" s="15"/>
      <c r="B60" s="18"/>
      <c r="C60" s="20"/>
      <c r="D60" s="20"/>
      <c r="E60" s="20"/>
      <c r="F60" s="20"/>
      <c r="G60" s="20"/>
      <c r="H60" s="20"/>
      <c r="I60" s="20"/>
    </row>
    <row r="61" spans="1:9" x14ac:dyDescent="0.3">
      <c r="A61" s="15"/>
      <c r="B61" s="18"/>
      <c r="C61" s="20"/>
      <c r="D61" s="20"/>
      <c r="E61" s="20"/>
      <c r="F61" s="20"/>
      <c r="G61" s="20"/>
      <c r="H61" s="20"/>
      <c r="I61" s="20"/>
    </row>
    <row r="62" spans="1:9" x14ac:dyDescent="0.3">
      <c r="A62" s="15"/>
      <c r="B62" s="18"/>
      <c r="C62" s="20"/>
      <c r="D62" s="20"/>
      <c r="E62" s="21"/>
      <c r="F62" s="20"/>
      <c r="G62" s="20"/>
      <c r="H62" s="20"/>
      <c r="I62" s="20"/>
    </row>
    <row r="63" spans="1:9" x14ac:dyDescent="0.3">
      <c r="A63" s="15"/>
      <c r="B63" s="18"/>
      <c r="C63" s="20"/>
      <c r="D63" s="20"/>
      <c r="E63" s="20"/>
      <c r="F63" s="20"/>
      <c r="G63" s="20"/>
      <c r="H63" s="20"/>
      <c r="I63" s="20"/>
    </row>
    <row r="64" spans="1:9" x14ac:dyDescent="0.3">
      <c r="A64" s="15"/>
      <c r="B64" s="18"/>
      <c r="C64" s="20"/>
      <c r="D64" s="20"/>
      <c r="E64" s="20"/>
      <c r="F64" s="20"/>
      <c r="G64" s="20"/>
      <c r="H64" s="20"/>
      <c r="I64" s="20"/>
    </row>
    <row r="65" spans="1:9" x14ac:dyDescent="0.3">
      <c r="A65" s="15"/>
      <c r="B65" s="18"/>
      <c r="C65" s="20"/>
      <c r="D65" s="20"/>
      <c r="E65" s="20"/>
      <c r="F65" s="20"/>
      <c r="G65" s="20"/>
      <c r="H65" s="20"/>
      <c r="I65" s="20"/>
    </row>
    <row r="66" spans="1:9" x14ac:dyDescent="0.3">
      <c r="A66" s="15"/>
      <c r="B66" s="18"/>
      <c r="C66" s="20"/>
      <c r="D66" s="20"/>
      <c r="E66" s="20"/>
      <c r="F66" s="20"/>
      <c r="G66" s="20"/>
      <c r="H66" s="20"/>
      <c r="I66" s="20"/>
    </row>
    <row r="67" spans="1:9" x14ac:dyDescent="0.3">
      <c r="A67" s="15"/>
      <c r="B67" s="18"/>
      <c r="C67" s="20"/>
      <c r="D67" s="20"/>
      <c r="E67" s="20"/>
      <c r="F67" s="20"/>
      <c r="G67" s="20"/>
      <c r="H67" s="20"/>
      <c r="I67" s="20"/>
    </row>
    <row r="68" spans="1:9" x14ac:dyDescent="0.3">
      <c r="A68" s="15"/>
      <c r="B68" s="18"/>
      <c r="C68" s="20"/>
      <c r="D68" s="20"/>
      <c r="E68" s="20"/>
      <c r="F68" s="20"/>
      <c r="G68" s="20"/>
      <c r="H68" s="20"/>
      <c r="I68" s="20"/>
    </row>
    <row r="69" spans="1:9" x14ac:dyDescent="0.3">
      <c r="A69" s="15"/>
      <c r="B69" s="18"/>
      <c r="C69" s="20"/>
      <c r="D69" s="20"/>
      <c r="E69" s="20"/>
      <c r="F69" s="20"/>
      <c r="G69" s="20"/>
      <c r="H69" s="20"/>
      <c r="I69" s="20"/>
    </row>
    <row r="70" spans="1:9" x14ac:dyDescent="0.3">
      <c r="A70" s="15"/>
      <c r="B70" s="18"/>
      <c r="C70" s="20"/>
      <c r="D70" s="20"/>
      <c r="E70" s="20"/>
      <c r="F70" s="20"/>
      <c r="G70" s="20"/>
      <c r="H70" s="20"/>
      <c r="I70" s="20"/>
    </row>
    <row r="71" spans="1:9" x14ac:dyDescent="0.3">
      <c r="A71" s="15"/>
      <c r="B71" s="18"/>
      <c r="C71" s="20"/>
      <c r="D71" s="20"/>
      <c r="E71" s="20"/>
      <c r="F71" s="20"/>
      <c r="G71" s="20"/>
      <c r="H71" s="20"/>
      <c r="I71" s="20"/>
    </row>
    <row r="73" spans="1:9" ht="16.2" thickBot="1" x14ac:dyDescent="0.35">
      <c r="A73" s="2"/>
      <c r="B73" s="8" t="s">
        <v>14</v>
      </c>
      <c r="C73" s="7">
        <f t="shared" ref="C73:I73" si="0">SUM(C11:C71)</f>
        <v>0</v>
      </c>
      <c r="D73" s="7">
        <f t="shared" si="0"/>
        <v>0</v>
      </c>
      <c r="E73" s="7">
        <f t="shared" si="0"/>
        <v>0</v>
      </c>
      <c r="F73" s="7">
        <f t="shared" si="0"/>
        <v>0</v>
      </c>
      <c r="G73" s="7">
        <f t="shared" si="0"/>
        <v>0</v>
      </c>
      <c r="H73" s="7">
        <f t="shared" si="0"/>
        <v>0</v>
      </c>
      <c r="I73" s="7">
        <f t="shared" si="0"/>
        <v>0</v>
      </c>
    </row>
    <row r="74" spans="1:9" ht="16.2" thickTop="1" x14ac:dyDescent="0.3">
      <c r="A74" s="1"/>
      <c r="B74" s="9"/>
      <c r="C74" s="1"/>
      <c r="D74" s="1"/>
      <c r="E74" s="1"/>
      <c r="F74" s="1"/>
      <c r="G74" s="1"/>
      <c r="H74" s="1"/>
      <c r="I74" s="1"/>
    </row>
    <row r="75" spans="1:9" x14ac:dyDescent="0.3">
      <c r="B75" s="48" t="s">
        <v>47</v>
      </c>
      <c r="C75" s="49">
        <f>B4-C73</f>
        <v>40000</v>
      </c>
    </row>
    <row r="76" spans="1:9" ht="15" thickBot="1" x14ac:dyDescent="0.35">
      <c r="B76" s="48"/>
      <c r="C76" s="50"/>
    </row>
    <row r="77" spans="1:9" ht="15" thickTop="1" x14ac:dyDescent="0.3"/>
    <row r="78" spans="1:9" x14ac:dyDescent="0.3">
      <c r="B78" s="30" t="s">
        <v>48</v>
      </c>
      <c r="C78" s="30"/>
      <c r="D78" s="30"/>
      <c r="E78" s="30"/>
      <c r="F78" s="30"/>
      <c r="G78" s="22" t="s">
        <v>49</v>
      </c>
    </row>
    <row r="79" spans="1:9" x14ac:dyDescent="0.3">
      <c r="G79" s="23"/>
    </row>
    <row r="80" spans="1:9" x14ac:dyDescent="0.3">
      <c r="A80" s="24">
        <v>5000</v>
      </c>
      <c r="B80" s="25"/>
      <c r="C80" s="25"/>
      <c r="D80" s="25"/>
      <c r="E80" s="25"/>
      <c r="F80" s="26"/>
      <c r="G80" s="27">
        <f t="shared" ref="G80:G89" si="1">SUM(B80:F80)*A80</f>
        <v>0</v>
      </c>
    </row>
    <row r="81" spans="1:7" x14ac:dyDescent="0.3">
      <c r="A81" s="24">
        <v>1000</v>
      </c>
      <c r="B81" s="25"/>
      <c r="C81" s="25"/>
      <c r="D81" s="25"/>
      <c r="E81" s="25"/>
      <c r="F81" s="26"/>
      <c r="G81" s="27">
        <f t="shared" si="1"/>
        <v>0</v>
      </c>
    </row>
    <row r="82" spans="1:7" x14ac:dyDescent="0.3">
      <c r="A82" s="24">
        <v>500</v>
      </c>
      <c r="B82" s="25"/>
      <c r="C82" s="25"/>
      <c r="D82" s="25"/>
      <c r="E82" s="25"/>
      <c r="F82" s="26"/>
      <c r="G82" s="27">
        <f t="shared" si="1"/>
        <v>0</v>
      </c>
    </row>
    <row r="83" spans="1:7" x14ac:dyDescent="0.3">
      <c r="A83" s="24">
        <v>100</v>
      </c>
      <c r="B83" s="25"/>
      <c r="C83" s="25"/>
      <c r="D83" s="25"/>
      <c r="E83" s="25"/>
      <c r="F83" s="26"/>
      <c r="G83" s="27">
        <f t="shared" si="1"/>
        <v>0</v>
      </c>
    </row>
    <row r="84" spans="1:7" x14ac:dyDescent="0.3">
      <c r="A84" s="24">
        <v>50</v>
      </c>
      <c r="B84" s="25"/>
      <c r="C84" s="25"/>
      <c r="D84" s="25"/>
      <c r="E84" s="25"/>
      <c r="F84" s="26"/>
      <c r="G84" s="27">
        <f t="shared" si="1"/>
        <v>0</v>
      </c>
    </row>
    <row r="85" spans="1:7" x14ac:dyDescent="0.3">
      <c r="A85" s="24">
        <v>20</v>
      </c>
      <c r="B85" s="25"/>
      <c r="C85" s="25"/>
      <c r="D85" s="25"/>
      <c r="E85" s="25"/>
      <c r="F85" s="26"/>
      <c r="G85" s="27">
        <f t="shared" si="1"/>
        <v>0</v>
      </c>
    </row>
    <row r="86" spans="1:7" x14ac:dyDescent="0.3">
      <c r="A86" s="24">
        <v>10</v>
      </c>
      <c r="B86" s="25"/>
      <c r="C86" s="25"/>
      <c r="D86" s="25"/>
      <c r="E86" s="25"/>
      <c r="F86" s="26"/>
      <c r="G86" s="27">
        <f t="shared" si="1"/>
        <v>0</v>
      </c>
    </row>
    <row r="87" spans="1:7" x14ac:dyDescent="0.3">
      <c r="A87" s="24">
        <v>5</v>
      </c>
      <c r="B87" s="25"/>
      <c r="C87" s="25"/>
      <c r="D87" s="25"/>
      <c r="E87" s="25"/>
      <c r="F87" s="26"/>
      <c r="G87" s="27">
        <f t="shared" si="1"/>
        <v>0</v>
      </c>
    </row>
    <row r="88" spans="1:7" x14ac:dyDescent="0.3">
      <c r="A88" s="24">
        <v>2</v>
      </c>
      <c r="B88" s="25"/>
      <c r="C88" s="25"/>
      <c r="D88" s="25"/>
      <c r="E88" s="25"/>
      <c r="F88" s="26"/>
      <c r="G88" s="27">
        <f t="shared" si="1"/>
        <v>0</v>
      </c>
    </row>
    <row r="89" spans="1:7" x14ac:dyDescent="0.3">
      <c r="A89" s="24">
        <v>1</v>
      </c>
      <c r="B89" s="25"/>
      <c r="C89" s="25"/>
      <c r="D89" s="25"/>
      <c r="E89" s="25"/>
      <c r="F89" s="26"/>
      <c r="G89" s="27">
        <f t="shared" si="1"/>
        <v>0</v>
      </c>
    </row>
    <row r="90" spans="1:7" x14ac:dyDescent="0.3">
      <c r="G90" s="23"/>
    </row>
    <row r="91" spans="1:7" ht="15" thickBot="1" x14ac:dyDescent="0.35">
      <c r="B91" s="31" t="s">
        <v>50</v>
      </c>
      <c r="C91" s="31"/>
      <c r="D91" s="31"/>
      <c r="E91" s="31"/>
      <c r="F91" s="31"/>
      <c r="G91" s="28">
        <f>SUM(G80:G89)</f>
        <v>0</v>
      </c>
    </row>
    <row r="92" spans="1:7" ht="15" thickTop="1" x14ac:dyDescent="0.3">
      <c r="B92" s="31" t="s">
        <v>51</v>
      </c>
      <c r="C92" s="31"/>
      <c r="D92" s="31"/>
      <c r="E92" s="31"/>
      <c r="F92" s="31"/>
      <c r="G92" s="29">
        <f>G91-C75</f>
        <v>-40000</v>
      </c>
    </row>
  </sheetData>
  <mergeCells count="16">
    <mergeCell ref="A9:A10"/>
    <mergeCell ref="B9:B10"/>
    <mergeCell ref="C9:C10"/>
    <mergeCell ref="D9:I9"/>
    <mergeCell ref="B75:B76"/>
    <mergeCell ref="C75:C76"/>
    <mergeCell ref="A11:I11"/>
    <mergeCell ref="B78:F78"/>
    <mergeCell ref="B91:F91"/>
    <mergeCell ref="B92:F92"/>
    <mergeCell ref="B2:C2"/>
    <mergeCell ref="B3:C3"/>
    <mergeCell ref="B4:C4"/>
    <mergeCell ref="B5:C5"/>
    <mergeCell ref="D4:E5"/>
    <mergeCell ref="B6:C6"/>
  </mergeCells>
  <conditionalFormatting sqref="D4:E5">
    <cfRule type="cellIs" dxfId="4" priority="5" operator="equal">
      <formula>"ERROR : FILL ALL AREAS CORRECTLY"</formula>
    </cfRule>
  </conditionalFormatting>
  <conditionalFormatting sqref="B6:C6">
    <cfRule type="expression" dxfId="3" priority="1">
      <formula>(B4-C73)/B4*100 &gt; 40</formula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98D6-5566-45D3-8FE7-681BB6CB0A4E}">
  <sheetPr codeName="Sheet2"/>
  <dimension ref="A1:K40"/>
  <sheetViews>
    <sheetView workbookViewId="0">
      <selection activeCell="Q11" sqref="Q11"/>
    </sheetView>
  </sheetViews>
  <sheetFormatPr defaultRowHeight="14.4" x14ac:dyDescent="0.3"/>
  <cols>
    <col min="1" max="1" width="2.88671875" customWidth="1"/>
    <col min="2" max="2" width="11.109375" customWidth="1"/>
    <col min="4" max="4" width="8.21875" customWidth="1"/>
    <col min="5" max="5" width="9.44140625" customWidth="1"/>
    <col min="6" max="6" width="6.77734375" customWidth="1"/>
    <col min="7" max="7" width="13.21875" customWidth="1"/>
    <col min="8" max="10" width="8.88671875" customWidth="1"/>
    <col min="11" max="11" width="3.109375" customWidth="1"/>
  </cols>
  <sheetData>
    <row r="1" spans="1:11" ht="14.4" customHeight="1" x14ac:dyDescent="0.3">
      <c r="A1" s="68" t="s">
        <v>15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11" ht="14.4" customHeight="1" x14ac:dyDescent="0.3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4.4" customHeight="1" x14ac:dyDescent="0.3">
      <c r="A3" s="69" t="s">
        <v>16</v>
      </c>
      <c r="B3" s="69"/>
      <c r="C3" s="69"/>
      <c r="D3" s="69"/>
      <c r="E3" s="69"/>
      <c r="F3" s="69"/>
      <c r="G3" s="69"/>
      <c r="H3" s="69"/>
      <c r="I3" s="69"/>
      <c r="J3" s="69"/>
      <c r="K3" s="69"/>
    </row>
    <row r="4" spans="1:11" ht="14.4" customHeight="1" x14ac:dyDescent="0.3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</row>
    <row r="5" spans="1:1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3">
      <c r="A6" s="3"/>
      <c r="B6" s="64" t="s">
        <v>17</v>
      </c>
      <c r="C6" s="64"/>
      <c r="D6" s="64"/>
      <c r="E6" s="71" t="str">
        <f>'Data Sheet'!B3</f>
        <v>Dineth Pansilu</v>
      </c>
      <c r="F6" s="71"/>
      <c r="G6" s="71"/>
      <c r="H6" s="71"/>
      <c r="I6" s="71"/>
      <c r="J6" s="3"/>
      <c r="K6" s="3"/>
    </row>
    <row r="7" spans="1:1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3">
      <c r="A9" s="3"/>
      <c r="B9" s="3" t="s">
        <v>20</v>
      </c>
      <c r="C9" s="59"/>
      <c r="D9" s="59"/>
      <c r="E9" s="59"/>
      <c r="F9" s="3"/>
      <c r="G9" s="3" t="s">
        <v>19</v>
      </c>
      <c r="H9" s="59" t="s">
        <v>1</v>
      </c>
      <c r="I9" s="59"/>
      <c r="J9" s="59"/>
      <c r="K9" s="3"/>
    </row>
    <row r="10" spans="1:1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3">
      <c r="A12" s="3"/>
      <c r="B12" s="64" t="s">
        <v>21</v>
      </c>
      <c r="C12" s="64"/>
      <c r="D12" s="64"/>
      <c r="E12" s="66" t="str">
        <f>H27 &amp; "/="</f>
        <v>0/=</v>
      </c>
      <c r="F12" s="66"/>
      <c r="G12" s="66"/>
      <c r="H12" s="3"/>
      <c r="I12" s="3"/>
      <c r="J12" s="3"/>
      <c r="K12" s="3"/>
    </row>
    <row r="13" spans="1:1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3">
      <c r="A15" s="3"/>
      <c r="B15" s="64" t="s">
        <v>22</v>
      </c>
      <c r="C15" s="64"/>
      <c r="D15" s="64"/>
      <c r="E15" s="59" t="s">
        <v>23</v>
      </c>
      <c r="F15" s="59"/>
      <c r="G15" s="59"/>
      <c r="H15" s="59"/>
      <c r="I15" s="59"/>
      <c r="J15" s="59"/>
      <c r="K15" s="3"/>
    </row>
    <row r="16" spans="1:1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3"/>
      <c r="B19" s="67" t="s">
        <v>32</v>
      </c>
      <c r="C19" s="67"/>
      <c r="D19" s="67"/>
      <c r="E19" s="67" t="s">
        <v>33</v>
      </c>
      <c r="F19" s="67" t="s">
        <v>34</v>
      </c>
      <c r="G19" s="67"/>
      <c r="H19" s="67" t="s">
        <v>35</v>
      </c>
      <c r="I19" s="67"/>
      <c r="J19" s="67"/>
      <c r="K19" s="3"/>
    </row>
    <row r="20" spans="1:11" x14ac:dyDescent="0.3">
      <c r="A20" s="3"/>
      <c r="B20" s="67"/>
      <c r="C20" s="67"/>
      <c r="D20" s="67"/>
      <c r="E20" s="67"/>
      <c r="F20" s="67"/>
      <c r="G20" s="67"/>
      <c r="H20" s="67"/>
      <c r="I20" s="67"/>
      <c r="J20" s="67"/>
      <c r="K20" s="3"/>
    </row>
    <row r="21" spans="1:11" ht="16.8" customHeight="1" x14ac:dyDescent="0.3">
      <c r="A21" s="3"/>
      <c r="B21" s="56" t="s">
        <v>36</v>
      </c>
      <c r="C21" s="56"/>
      <c r="D21" s="56"/>
      <c r="E21" s="11">
        <f>COUNT('Data Sheet'!D11:D71)</f>
        <v>0</v>
      </c>
      <c r="F21" s="53" t="e">
        <f>TEXT(DATEVALUE(SUBSTITUTE('Data Sheet'!A12,".","/")),"MM.DD") &amp; " TO " &amp; TEXT(DATEVALUE(SUBSTITUTE('Data Sheet'!B5,".","/")),"MM.DD")</f>
        <v>#VALUE!</v>
      </c>
      <c r="G21" s="53"/>
      <c r="H21" s="57">
        <f>'Data Sheet'!D73</f>
        <v>0</v>
      </c>
      <c r="I21" s="58"/>
      <c r="J21" s="58"/>
      <c r="K21" s="3"/>
    </row>
    <row r="22" spans="1:11" ht="16.8" customHeight="1" x14ac:dyDescent="0.3">
      <c r="A22" s="3"/>
      <c r="B22" s="56" t="s">
        <v>37</v>
      </c>
      <c r="C22" s="56"/>
      <c r="D22" s="56"/>
      <c r="E22" s="11">
        <f>COUNT('Data Sheet'!E11:E71)</f>
        <v>0</v>
      </c>
      <c r="F22" s="53" t="e">
        <f>F21</f>
        <v>#VALUE!</v>
      </c>
      <c r="G22" s="53"/>
      <c r="H22" s="57">
        <f>'Data Sheet'!E73</f>
        <v>0</v>
      </c>
      <c r="I22" s="58"/>
      <c r="J22" s="58"/>
      <c r="K22" s="3"/>
    </row>
    <row r="23" spans="1:11" ht="16.8" customHeight="1" x14ac:dyDescent="0.3">
      <c r="A23" s="3"/>
      <c r="B23" s="56" t="s">
        <v>10</v>
      </c>
      <c r="C23" s="56"/>
      <c r="D23" s="56"/>
      <c r="E23" s="11">
        <f>COUNT('Data Sheet'!F11:F71)</f>
        <v>0</v>
      </c>
      <c r="F23" s="54" t="e">
        <f>F21</f>
        <v>#VALUE!</v>
      </c>
      <c r="G23" s="55"/>
      <c r="H23" s="57">
        <f>'Data Sheet'!F73</f>
        <v>0</v>
      </c>
      <c r="I23" s="58"/>
      <c r="J23" s="58"/>
      <c r="K23" s="3"/>
    </row>
    <row r="24" spans="1:11" ht="16.8" customHeight="1" x14ac:dyDescent="0.3">
      <c r="A24" s="3"/>
      <c r="B24" s="56" t="s">
        <v>38</v>
      </c>
      <c r="C24" s="56"/>
      <c r="D24" s="56"/>
      <c r="E24" s="11">
        <f>COUNT('Data Sheet'!G11:G71)</f>
        <v>0</v>
      </c>
      <c r="F24" s="54" t="e">
        <f>F21</f>
        <v>#VALUE!</v>
      </c>
      <c r="G24" s="55"/>
      <c r="H24" s="57">
        <f>'Data Sheet'!G73</f>
        <v>0</v>
      </c>
      <c r="I24" s="58"/>
      <c r="J24" s="58"/>
      <c r="K24" s="3"/>
    </row>
    <row r="25" spans="1:11" ht="16.8" customHeight="1" x14ac:dyDescent="0.3">
      <c r="A25" s="3"/>
      <c r="B25" s="56" t="s">
        <v>12</v>
      </c>
      <c r="C25" s="56"/>
      <c r="D25" s="56"/>
      <c r="E25" s="11">
        <f>COUNT('Data Sheet'!H11:H71)</f>
        <v>0</v>
      </c>
      <c r="F25" s="54" t="e">
        <f>F21</f>
        <v>#VALUE!</v>
      </c>
      <c r="G25" s="55"/>
      <c r="H25" s="57">
        <f>'Data Sheet'!H73</f>
        <v>0</v>
      </c>
      <c r="I25" s="58"/>
      <c r="J25" s="58"/>
      <c r="K25" s="3"/>
    </row>
    <row r="26" spans="1:11" ht="16.8" customHeight="1" x14ac:dyDescent="0.3">
      <c r="A26" s="3"/>
      <c r="B26" s="56" t="s">
        <v>13</v>
      </c>
      <c r="C26" s="56"/>
      <c r="D26" s="56"/>
      <c r="E26" s="11">
        <f>COUNT('Data Sheet'!I11:I71)</f>
        <v>0</v>
      </c>
      <c r="F26" s="54" t="e">
        <f>F21</f>
        <v>#VALUE!</v>
      </c>
      <c r="G26" s="55"/>
      <c r="H26" s="57">
        <f>'Data Sheet'!I73</f>
        <v>0</v>
      </c>
      <c r="I26" s="58"/>
      <c r="J26" s="58"/>
      <c r="K26" s="3"/>
    </row>
    <row r="27" spans="1:11" ht="13.8" customHeight="1" x14ac:dyDescent="0.3">
      <c r="A27" s="3"/>
      <c r="B27" s="60" t="s">
        <v>39</v>
      </c>
      <c r="C27" s="60"/>
      <c r="D27" s="60"/>
      <c r="E27" s="61"/>
      <c r="F27" s="53"/>
      <c r="G27" s="53"/>
      <c r="H27" s="57">
        <f>SUM(H21:J26)</f>
        <v>0</v>
      </c>
      <c r="I27" s="58"/>
      <c r="J27" s="58"/>
      <c r="K27" s="3"/>
    </row>
    <row r="28" spans="1:11" ht="15" thickBot="1" x14ac:dyDescent="0.35">
      <c r="A28" s="3"/>
      <c r="B28" s="60"/>
      <c r="C28" s="60"/>
      <c r="D28" s="60"/>
      <c r="E28" s="62"/>
      <c r="F28" s="53"/>
      <c r="G28" s="53"/>
      <c r="H28" s="65"/>
      <c r="I28" s="65"/>
      <c r="J28" s="65"/>
      <c r="K28" s="3"/>
    </row>
    <row r="29" spans="1:11" ht="15" thickTop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ht="10.8" customHeight="1" x14ac:dyDescent="0.3">
      <c r="A32" s="3"/>
      <c r="B32" s="59" t="s">
        <v>30</v>
      </c>
      <c r="C32" s="59"/>
      <c r="D32" s="59"/>
      <c r="E32" s="3"/>
      <c r="F32" s="3"/>
      <c r="G32" s="3"/>
      <c r="H32" s="3" t="s">
        <v>30</v>
      </c>
      <c r="I32" s="3"/>
      <c r="J32" s="3"/>
      <c r="K32" s="3"/>
    </row>
    <row r="33" spans="1:11" ht="20.399999999999999" customHeight="1" x14ac:dyDescent="0.3">
      <c r="A33" s="3"/>
      <c r="B33" s="63" t="s">
        <v>29</v>
      </c>
      <c r="C33" s="63"/>
      <c r="D33" s="63"/>
      <c r="E33" s="3"/>
      <c r="F33" s="3"/>
      <c r="G33" s="3"/>
      <c r="H33" s="63" t="s">
        <v>31</v>
      </c>
      <c r="I33" s="63"/>
      <c r="J33" s="63"/>
      <c r="K33" s="3"/>
    </row>
    <row r="34" spans="1:11" x14ac:dyDescent="0.3">
      <c r="A34" s="3"/>
      <c r="B34" s="12" t="s">
        <v>27</v>
      </c>
      <c r="C34" s="64" t="str">
        <f>'Data Sheet'!B3</f>
        <v>Dineth Pansilu</v>
      </c>
      <c r="D34" s="64"/>
      <c r="E34" s="3"/>
      <c r="F34" s="3"/>
      <c r="G34" s="3"/>
      <c r="H34" s="10" t="s">
        <v>40</v>
      </c>
      <c r="I34" s="64" t="s">
        <v>28</v>
      </c>
      <c r="J34" s="64"/>
      <c r="K34" s="13"/>
    </row>
    <row r="35" spans="1:11" x14ac:dyDescent="0.3">
      <c r="A35" s="3"/>
      <c r="B35" s="3"/>
      <c r="C35" s="64" t="s">
        <v>26</v>
      </c>
      <c r="D35" s="64"/>
      <c r="E35" s="3"/>
      <c r="F35" s="3"/>
      <c r="G35" s="3"/>
      <c r="H35" s="3"/>
      <c r="I35" s="3"/>
      <c r="J35" s="3"/>
      <c r="K35" s="3"/>
    </row>
    <row r="36" spans="1:1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</row>
    <row r="37" spans="1:1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</row>
    <row r="38" spans="1:11" x14ac:dyDescent="0.3">
      <c r="A38" s="3"/>
      <c r="B38" s="59" t="s">
        <v>30</v>
      </c>
      <c r="C38" s="59"/>
      <c r="D38" s="59"/>
      <c r="E38" s="3"/>
      <c r="F38" s="3"/>
      <c r="G38" s="3"/>
      <c r="H38" s="3"/>
      <c r="I38" s="3"/>
      <c r="J38" s="3"/>
      <c r="K38" s="3"/>
    </row>
    <row r="39" spans="1:11" x14ac:dyDescent="0.3">
      <c r="A39" s="3"/>
      <c r="B39" s="64" t="s">
        <v>41</v>
      </c>
      <c r="C39" s="64"/>
      <c r="D39" s="3" t="s">
        <v>24</v>
      </c>
      <c r="E39" s="3"/>
      <c r="F39" s="3"/>
      <c r="G39" s="12" t="s">
        <v>25</v>
      </c>
      <c r="H39" s="3"/>
      <c r="I39" s="3"/>
      <c r="J39" s="3"/>
      <c r="K39" s="3"/>
    </row>
    <row r="40" spans="1:1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</sheetData>
  <mergeCells count="44">
    <mergeCell ref="A1:K2"/>
    <mergeCell ref="A3:K4"/>
    <mergeCell ref="B6:D6"/>
    <mergeCell ref="C9:E9"/>
    <mergeCell ref="H9:J9"/>
    <mergeCell ref="E6:I6"/>
    <mergeCell ref="B39:C39"/>
    <mergeCell ref="C35:D35"/>
    <mergeCell ref="C34:D34"/>
    <mergeCell ref="B12:D12"/>
    <mergeCell ref="E12:G12"/>
    <mergeCell ref="B15:D15"/>
    <mergeCell ref="E15:J15"/>
    <mergeCell ref="H26:J26"/>
    <mergeCell ref="B33:D33"/>
    <mergeCell ref="B32:D32"/>
    <mergeCell ref="B19:D20"/>
    <mergeCell ref="E19:E20"/>
    <mergeCell ref="F19:G20"/>
    <mergeCell ref="H19:J20"/>
    <mergeCell ref="H21:J21"/>
    <mergeCell ref="H22:J22"/>
    <mergeCell ref="H23:J23"/>
    <mergeCell ref="H24:J24"/>
    <mergeCell ref="H25:J25"/>
    <mergeCell ref="B38:D38"/>
    <mergeCell ref="F27:G28"/>
    <mergeCell ref="B26:D26"/>
    <mergeCell ref="F26:G26"/>
    <mergeCell ref="B27:D28"/>
    <mergeCell ref="E27:E28"/>
    <mergeCell ref="H33:J33"/>
    <mergeCell ref="I34:J34"/>
    <mergeCell ref="H27:J28"/>
    <mergeCell ref="B21:D21"/>
    <mergeCell ref="B22:D22"/>
    <mergeCell ref="B23:D23"/>
    <mergeCell ref="B24:D24"/>
    <mergeCell ref="B25:D25"/>
    <mergeCell ref="F21:G21"/>
    <mergeCell ref="F22:G22"/>
    <mergeCell ref="F23:G23"/>
    <mergeCell ref="F24:G24"/>
    <mergeCell ref="F25:G2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0823-E4D3-47DE-9DC0-4F21C1F8DC65}">
  <sheetPr codeName="Sheet3"/>
  <dimension ref="A1:C12"/>
  <sheetViews>
    <sheetView tabSelected="1" workbookViewId="0">
      <selection activeCell="K9" sqref="K9"/>
    </sheetView>
  </sheetViews>
  <sheetFormatPr defaultRowHeight="14.4" x14ac:dyDescent="0.3"/>
  <cols>
    <col min="1" max="1" width="26.6640625" customWidth="1"/>
    <col min="2" max="2" width="31.44140625" customWidth="1"/>
    <col min="3" max="3" width="18" customWidth="1"/>
  </cols>
  <sheetData>
    <row r="1" spans="1:3" ht="15" thickBot="1" x14ac:dyDescent="0.35"/>
    <row r="2" spans="1:3" ht="15.6" thickTop="1" thickBot="1" x14ac:dyDescent="0.35">
      <c r="A2" s="4" t="s">
        <v>0</v>
      </c>
      <c r="B2" s="32" t="s">
        <v>1</v>
      </c>
      <c r="C2" s="33"/>
    </row>
    <row r="3" spans="1:3" ht="15.6" thickTop="1" thickBot="1" x14ac:dyDescent="0.35">
      <c r="A3" s="5" t="s">
        <v>2</v>
      </c>
      <c r="B3" s="32" t="s">
        <v>18</v>
      </c>
      <c r="C3" s="33"/>
    </row>
    <row r="4" spans="1:3" ht="15.6" thickTop="1" thickBot="1" x14ac:dyDescent="0.35">
      <c r="A4" s="4" t="s">
        <v>3</v>
      </c>
      <c r="B4" s="34" t="e">
        <f>'Data Sheet'!B5</f>
        <v>#N/A</v>
      </c>
      <c r="C4" s="33"/>
    </row>
    <row r="5" spans="1:3" ht="15" thickTop="1" x14ac:dyDescent="0.3"/>
    <row r="6" spans="1:3" x14ac:dyDescent="0.3">
      <c r="A6" s="31" t="s">
        <v>43</v>
      </c>
      <c r="B6" s="31"/>
      <c r="C6" s="31"/>
    </row>
    <row r="9" spans="1:3" x14ac:dyDescent="0.3">
      <c r="A9" t="s">
        <v>44</v>
      </c>
    </row>
    <row r="12" spans="1:3" x14ac:dyDescent="0.3">
      <c r="A12" t="s">
        <v>45</v>
      </c>
    </row>
  </sheetData>
  <mergeCells count="4">
    <mergeCell ref="B2:C2"/>
    <mergeCell ref="B3:C3"/>
    <mergeCell ref="B4:C4"/>
    <mergeCell ref="A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yTransportData_WithTotal">
                <anchor moveWithCells="1" sizeWithCells="1">
                  <from>
                    <xdr:col>7</xdr:col>
                    <xdr:colOff>137160</xdr:colOff>
                    <xdr:row>3</xdr:row>
                    <xdr:rowOff>144780</xdr:rowOff>
                  </from>
                  <to>
                    <xdr:col>12</xdr:col>
                    <xdr:colOff>121920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Sheet</vt:lpstr>
      <vt:lpstr>Forum</vt:lpstr>
      <vt:lpstr>Transport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Dineth Pansilu</dc:creator>
  <cp:lastModifiedBy>Dineth Pansilu</cp:lastModifiedBy>
  <cp:lastPrinted>2025-07-23T17:24:42Z</cp:lastPrinted>
  <dcterms:created xsi:type="dcterms:W3CDTF">2025-07-23T14:53:22Z</dcterms:created>
  <dcterms:modified xsi:type="dcterms:W3CDTF">2025-08-05T12:10:37Z</dcterms:modified>
</cp:coreProperties>
</file>