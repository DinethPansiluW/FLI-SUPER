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5BB3D532-4524-485C-B431-BAFB54BAD3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8" i="1" l="1"/>
  <c r="G38" i="1"/>
  <c r="N38" i="1" s="1"/>
  <c r="G37" i="1"/>
  <c r="N37" i="1" s="1"/>
  <c r="G36" i="1"/>
  <c r="N36" i="1" s="1"/>
  <c r="T38" i="1"/>
  <c r="H36" i="1"/>
  <c r="I3" i="1"/>
  <c r="I4" i="1" l="1"/>
  <c r="S6" i="1" s="1"/>
  <c r="L37" i="1" l="1"/>
  <c r="H38" i="1"/>
  <c r="Q38" i="1"/>
  <c r="D29" i="1" l="1"/>
  <c r="E29" i="1"/>
  <c r="F29" i="1"/>
  <c r="H29" i="1"/>
  <c r="I29" i="1"/>
  <c r="J29" i="1"/>
  <c r="L29" i="1"/>
  <c r="M29" i="1"/>
  <c r="N29" i="1"/>
  <c r="P29" i="1"/>
  <c r="Q29" i="1"/>
  <c r="Q36" i="1" l="1"/>
  <c r="L36" i="1"/>
  <c r="U36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50" i="1"/>
  <c r="I50" i="1" s="1"/>
  <c r="T59" i="1"/>
  <c r="U59" i="1" s="1"/>
  <c r="T58" i="1"/>
  <c r="U58" i="1" s="1"/>
  <c r="T57" i="1"/>
  <c r="U57" i="1" s="1"/>
  <c r="T56" i="1"/>
  <c r="U56" i="1" s="1"/>
  <c r="T55" i="1"/>
  <c r="U55" i="1" s="1"/>
  <c r="T54" i="1"/>
  <c r="U54" i="1" s="1"/>
  <c r="T53" i="1"/>
  <c r="U53" i="1" s="1"/>
  <c r="T52" i="1"/>
  <c r="U52" i="1" s="1"/>
  <c r="T51" i="1"/>
  <c r="U51" i="1" s="1"/>
  <c r="T50" i="1"/>
  <c r="U50" i="1" s="1"/>
  <c r="U15" i="1"/>
  <c r="U16" i="1"/>
  <c r="U17" i="1"/>
  <c r="U18" i="1"/>
  <c r="U19" i="1"/>
  <c r="U20" i="1"/>
  <c r="U21" i="1"/>
  <c r="U22" i="1"/>
  <c r="U23" i="1"/>
  <c r="U14" i="1"/>
  <c r="T26" i="1"/>
  <c r="B35" i="1" s="1"/>
  <c r="O38" i="1" s="1"/>
  <c r="G14" i="1"/>
  <c r="G15" i="1"/>
  <c r="G16" i="1"/>
  <c r="G17" i="1"/>
  <c r="G18" i="1"/>
  <c r="G19" i="1"/>
  <c r="G20" i="1"/>
  <c r="G21" i="1"/>
  <c r="G22" i="1"/>
  <c r="G23" i="1"/>
  <c r="H37" i="1" l="1"/>
  <c r="J59" i="1"/>
  <c r="J50" i="1"/>
  <c r="J58" i="1"/>
  <c r="J57" i="1"/>
  <c r="J56" i="1"/>
  <c r="J54" i="1"/>
  <c r="V57" i="1"/>
  <c r="J55" i="1"/>
  <c r="V56" i="1"/>
  <c r="V55" i="1"/>
  <c r="V50" i="1"/>
  <c r="J52" i="1"/>
  <c r="V53" i="1"/>
  <c r="V51" i="1"/>
  <c r="J53" i="1"/>
  <c r="J51" i="1"/>
  <c r="V54" i="1"/>
  <c r="V52" i="1"/>
  <c r="V59" i="1"/>
  <c r="V58" i="1"/>
  <c r="I61" i="1"/>
  <c r="U61" i="1"/>
  <c r="R23" i="1"/>
  <c r="R22" i="1"/>
  <c r="R21" i="1"/>
  <c r="R20" i="1"/>
  <c r="R19" i="1"/>
  <c r="R18" i="1"/>
  <c r="R17" i="1"/>
  <c r="R16" i="1"/>
  <c r="R15" i="1"/>
  <c r="R14" i="1"/>
  <c r="U37" i="1" l="1"/>
  <c r="R24" i="1"/>
  <c r="R28" i="1" s="1"/>
  <c r="R29" i="1" s="1"/>
  <c r="K16" i="1" l="1"/>
  <c r="C15" i="1" l="1"/>
  <c r="C16" i="1"/>
  <c r="C17" i="1"/>
  <c r="C18" i="1"/>
  <c r="C19" i="1"/>
  <c r="C20" i="1"/>
  <c r="C21" i="1"/>
  <c r="C22" i="1"/>
  <c r="C23" i="1"/>
  <c r="C14" i="1"/>
  <c r="C24" i="1" l="1"/>
  <c r="C28" i="1" s="1"/>
  <c r="K14" i="1"/>
  <c r="O14" i="1"/>
  <c r="K15" i="1"/>
  <c r="O15" i="1"/>
  <c r="O16" i="1"/>
  <c r="K17" i="1"/>
  <c r="O17" i="1"/>
  <c r="K18" i="1"/>
  <c r="O18" i="1"/>
  <c r="K19" i="1"/>
  <c r="O19" i="1"/>
  <c r="K20" i="1"/>
  <c r="O20" i="1"/>
  <c r="K21" i="1"/>
  <c r="O21" i="1"/>
  <c r="K22" i="1"/>
  <c r="O22" i="1"/>
  <c r="K23" i="1"/>
  <c r="O23" i="1"/>
  <c r="C29" i="1" l="1"/>
  <c r="K24" i="1"/>
  <c r="K28" i="1" s="1"/>
  <c r="K29" i="1" s="1"/>
  <c r="O24" i="1"/>
  <c r="O28" i="1" s="1"/>
  <c r="O29" i="1" s="1"/>
  <c r="G24" i="1" l="1"/>
  <c r="G28" i="1" s="1"/>
  <c r="T28" i="1" s="1"/>
  <c r="B36" i="1" s="1"/>
  <c r="G29" i="1" l="1"/>
  <c r="R38" i="1"/>
  <c r="J38" i="1" s="1"/>
  <c r="T24" i="1"/>
  <c r="B37" i="1" l="1"/>
  <c r="I62" i="1" s="1"/>
  <c r="U62" i="1" l="1"/>
  <c r="U38" i="1"/>
</calcChain>
</file>

<file path=xl/sharedStrings.xml><?xml version="1.0" encoding="utf-8"?>
<sst xmlns="http://schemas.openxmlformats.org/spreadsheetml/2006/main" count="78" uniqueCount="56">
  <si>
    <t>ONLY DATA ENTER BROWN CELLS ONLY</t>
  </si>
  <si>
    <r>
      <t>ENTER TODAY '</t>
    </r>
    <r>
      <rPr>
        <b/>
        <sz val="16"/>
        <color theme="1"/>
        <rFont val="Calibri"/>
        <family val="2"/>
        <scheme val="minor"/>
      </rPr>
      <t>BANKED</t>
    </r>
    <r>
      <rPr>
        <sz val="16"/>
        <color theme="1"/>
        <rFont val="Calibri"/>
        <family val="2"/>
        <scheme val="minor"/>
      </rPr>
      <t xml:space="preserve">' (YES/NO) </t>
    </r>
  </si>
  <si>
    <t>=</t>
  </si>
  <si>
    <t>FLOAT</t>
  </si>
  <si>
    <t>KEERTHANA</t>
  </si>
  <si>
    <t>SAJANI</t>
  </si>
  <si>
    <t>DASUN (SONURAD)</t>
  </si>
  <si>
    <t>THILINI (GEETHAS)</t>
  </si>
  <si>
    <t>TOTAL PIECES COUNT</t>
  </si>
  <si>
    <t xml:space="preserve"> </t>
  </si>
  <si>
    <t>PHYSICAL CASH</t>
  </si>
  <si>
    <t>SYSTEM CASH</t>
  </si>
  <si>
    <t xml:space="preserve">                                                                                                                                                                              </t>
  </si>
  <si>
    <t>EXESS/SHORT</t>
  </si>
  <si>
    <t>SHORT PAID OR NOT</t>
  </si>
  <si>
    <t>CASH BANK DEPOSITE</t>
  </si>
  <si>
    <t>SAFE BOOK</t>
  </si>
  <si>
    <t>COMMERCIAL</t>
  </si>
  <si>
    <r>
      <t>CHECK THIS USING '</t>
    </r>
    <r>
      <rPr>
        <b/>
        <sz val="11"/>
        <color theme="1"/>
        <rFont val="Calibri"/>
        <family val="2"/>
        <scheme val="minor"/>
      </rPr>
      <t>DAY END SUMMARY</t>
    </r>
    <r>
      <rPr>
        <sz val="11"/>
        <color theme="1"/>
        <rFont val="Calibri"/>
        <family val="2"/>
        <scheme val="minor"/>
      </rPr>
      <t>'</t>
    </r>
  </si>
  <si>
    <t>SM CC</t>
  </si>
  <si>
    <t>OPENING BALANCE</t>
  </si>
  <si>
    <t>CASH IN</t>
  </si>
  <si>
    <t>CASH OUT</t>
  </si>
  <si>
    <t>FLOT</t>
  </si>
  <si>
    <t>EXCESS</t>
  </si>
  <si>
    <t>TOTAL</t>
  </si>
  <si>
    <t>BANKING</t>
  </si>
  <si>
    <t>DAY END</t>
  </si>
  <si>
    <t>ENTER THIS TO 'NEXT DAY'</t>
  </si>
  <si>
    <t>CASH BANK CALCULATOR</t>
  </si>
  <si>
    <t>CALCULATOR 1</t>
  </si>
  <si>
    <t>CALCULATOR 2</t>
  </si>
  <si>
    <t>PIECES COUNTING</t>
  </si>
  <si>
    <t>FULL PIECES COUNT</t>
  </si>
  <si>
    <t>DIF. PIECES</t>
  </si>
  <si>
    <t>FULL PIECE COUNT</t>
  </si>
  <si>
    <t>DIF.PIECES</t>
  </si>
  <si>
    <t>FULL TOTAL</t>
  </si>
  <si>
    <t>DEFFERENCE BETWEEN 'CASH BANK DEPOSITE'</t>
  </si>
  <si>
    <t>DATE</t>
  </si>
  <si>
    <t>NEW MEMBER</t>
  </si>
  <si>
    <t>FLOT OUT</t>
  </si>
  <si>
    <t>OTHER 1</t>
  </si>
  <si>
    <t>OPENING TIME</t>
  </si>
  <si>
    <t>CLOSED TIME</t>
  </si>
  <si>
    <t>NO</t>
  </si>
  <si>
    <r>
      <rPr>
        <b/>
        <sz val="16"/>
        <color theme="1"/>
        <rFont val="Calibri"/>
        <family val="2"/>
        <scheme val="minor"/>
      </rPr>
      <t>OTHER INCOME</t>
    </r>
    <r>
      <rPr>
        <sz val="16"/>
        <color theme="1"/>
        <rFont val="Calibri"/>
        <family val="2"/>
        <scheme val="minor"/>
      </rPr>
      <t xml:space="preserve"> 'BANKED' (YES/NO)</t>
    </r>
  </si>
  <si>
    <t>OTHER 2</t>
  </si>
  <si>
    <r>
      <t xml:space="preserve">PREVIOUS DAY </t>
    </r>
    <r>
      <rPr>
        <b/>
        <sz val="16"/>
        <rFont val="Calibri"/>
        <family val="2"/>
        <scheme val="minor"/>
      </rPr>
      <t>'DAY END TOTAL'</t>
    </r>
  </si>
  <si>
    <r>
      <t xml:space="preserve">PREVIOUS DAY </t>
    </r>
    <r>
      <rPr>
        <b/>
        <sz val="16"/>
        <rFont val="Calibri"/>
        <family val="2"/>
        <scheme val="minor"/>
      </rPr>
      <t>'OTHER EXPENCES'</t>
    </r>
  </si>
  <si>
    <t>+</t>
  </si>
  <si>
    <t>TODAY CREDIT PAYMENTS</t>
  </si>
  <si>
    <t>TODAY OTHER INCOME</t>
  </si>
  <si>
    <t>DAY END OTHER EXPENCES TOTAL</t>
  </si>
  <si>
    <t>ENTER THIS TO</t>
  </si>
  <si>
    <t xml:space="preserve"> 'NEXT DAY'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</si>
</sst>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7"/>
      <color rgb="FF000000"/>
      <name val="Georgia"/>
      <family val="1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B0F0"/>
      </left>
      <right/>
      <top/>
      <bottom/>
      <diagonal/>
    </border>
    <border>
      <left/>
      <right/>
      <top/>
      <bottom style="double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/>
      <right style="medium">
        <color theme="3" tint="-0.249977111117893"/>
      </right>
      <top style="medium">
        <color theme="3" tint="-0.249977111117893"/>
      </top>
      <bottom/>
      <diagonal/>
    </border>
    <border>
      <left style="medium">
        <color theme="3" tint="-0.249977111117893"/>
      </left>
      <right/>
      <top/>
      <bottom style="medium">
        <color theme="3" tint="-0.249977111117893"/>
      </bottom>
      <diagonal/>
    </border>
    <border>
      <left/>
      <right style="medium">
        <color theme="3" tint="-0.249977111117893"/>
      </right>
      <top/>
      <bottom style="medium">
        <color theme="3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90">
    <xf numFmtId="0" fontId="0" fillId="0" borderId="0" xfId="0"/>
    <xf numFmtId="4" fontId="0" fillId="0" borderId="0" xfId="0" applyNumberFormat="1"/>
    <xf numFmtId="0" fontId="0" fillId="3" borderId="1" xfId="0" applyFill="1" applyBorder="1"/>
    <xf numFmtId="0" fontId="0" fillId="0" borderId="0" xfId="0" applyAlignment="1">
      <alignment horizontal="center"/>
    </xf>
    <xf numFmtId="0" fontId="4" fillId="0" borderId="1" xfId="0" applyFont="1" applyBorder="1"/>
    <xf numFmtId="0" fontId="0" fillId="3" borderId="1" xfId="0" quotePrefix="1" applyFill="1" applyBorder="1"/>
    <xf numFmtId="0" fontId="0" fillId="3" borderId="1" xfId="1" applyNumberFormat="1" applyFont="1" applyFill="1" applyBorder="1"/>
    <xf numFmtId="0" fontId="4" fillId="0" borderId="0" xfId="0" applyFont="1"/>
    <xf numFmtId="43" fontId="0" fillId="0" borderId="0" xfId="1" applyFont="1"/>
    <xf numFmtId="0" fontId="0" fillId="0" borderId="4" xfId="0" applyBorder="1"/>
    <xf numFmtId="0" fontId="3" fillId="0" borderId="0" xfId="0" applyFont="1"/>
    <xf numFmtId="0" fontId="2" fillId="0" borderId="0" xfId="0" applyFont="1"/>
    <xf numFmtId="0" fontId="0" fillId="6" borderId="1" xfId="0" applyFill="1" applyBorder="1"/>
    <xf numFmtId="0" fontId="9" fillId="0" borderId="0" xfId="0" applyFont="1"/>
    <xf numFmtId="0" fontId="0" fillId="4" borderId="9" xfId="0" applyFill="1" applyBorder="1"/>
    <xf numFmtId="0" fontId="0" fillId="4" borderId="0" xfId="0" applyFill="1"/>
    <xf numFmtId="0" fontId="9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0" xfId="0" applyAlignment="1">
      <alignment horizontal="right"/>
    </xf>
    <xf numFmtId="0" fontId="0" fillId="8" borderId="1" xfId="0" applyFill="1" applyBorder="1"/>
    <xf numFmtId="0" fontId="0" fillId="8" borderId="2" xfId="0" applyFill="1" applyBorder="1"/>
    <xf numFmtId="0" fontId="10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4" fontId="0" fillId="3" borderId="5" xfId="0" applyNumberFormat="1" applyFill="1" applyBorder="1"/>
    <xf numFmtId="4" fontId="1" fillId="3" borderId="5" xfId="0" applyNumberFormat="1" applyFont="1" applyFill="1" applyBorder="1"/>
    <xf numFmtId="4" fontId="0" fillId="7" borderId="11" xfId="0" applyNumberFormat="1" applyFill="1" applyBorder="1" applyAlignment="1">
      <alignment horizontal="right"/>
    </xf>
    <xf numFmtId="4" fontId="0" fillId="4" borderId="9" xfId="0" applyNumberFormat="1" applyFill="1" applyBorder="1"/>
    <xf numFmtId="4" fontId="0" fillId="4" borderId="0" xfId="0" applyNumberFormat="1" applyFill="1"/>
    <xf numFmtId="4" fontId="4" fillId="0" borderId="0" xfId="0" applyNumberFormat="1" applyFont="1" applyAlignment="1">
      <alignment horizontal="center"/>
    </xf>
    <xf numFmtId="4" fontId="0" fillId="7" borderId="11" xfId="0" applyNumberFormat="1" applyFill="1" applyBorder="1"/>
    <xf numFmtId="4" fontId="0" fillId="0" borderId="0" xfId="0" applyNumberFormat="1" applyAlignment="1">
      <alignment horizontal="right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5" xfId="0" applyNumberFormat="1" applyFont="1" applyBorder="1" applyAlignment="1">
      <alignment horizontal="center"/>
    </xf>
    <xf numFmtId="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17" fillId="0" borderId="0" xfId="0" applyFont="1" applyAlignment="1">
      <alignment vertical="top"/>
    </xf>
    <xf numFmtId="18" fontId="0" fillId="0" borderId="1" xfId="0" applyNumberFormat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3" fillId="8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wrapText="1"/>
    </xf>
    <xf numFmtId="2" fontId="3" fillId="8" borderId="5" xfId="0" applyNumberFormat="1" applyFont="1" applyFill="1" applyBorder="1" applyAlignment="1">
      <alignment horizontal="center"/>
    </xf>
    <xf numFmtId="4" fontId="3" fillId="8" borderId="4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5" xfId="0" applyFont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3" fillId="0" borderId="1" xfId="0" applyNumberFormat="1" applyFon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3" fillId="9" borderId="16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3" fillId="9" borderId="18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/>
    </xf>
    <xf numFmtId="0" fontId="18" fillId="9" borderId="20" xfId="0" applyFont="1" applyFill="1" applyBorder="1" applyAlignment="1">
      <alignment horizontal="center" vertical="top"/>
    </xf>
    <xf numFmtId="0" fontId="18" fillId="9" borderId="21" xfId="0" applyFont="1" applyFill="1" applyBorder="1" applyAlignment="1">
      <alignment horizontal="center" vertical="top"/>
    </xf>
    <xf numFmtId="0" fontId="18" fillId="9" borderId="22" xfId="0" applyFont="1" applyFill="1" applyBorder="1" applyAlignment="1">
      <alignment horizontal="center" vertical="top"/>
    </xf>
    <xf numFmtId="0" fontId="18" fillId="9" borderId="23" xfId="0" applyFont="1" applyFill="1" applyBorder="1" applyAlignment="1">
      <alignment horizontal="center" vertical="top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/>
    <xf numFmtId="0" fontId="0" fillId="4" borderId="1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0" fontId="0" fillId="10" borderId="1" xfId="0" applyNumberForma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 tint="-4.9989318521683403E-2"/>
      </font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56032</xdr:colOff>
      <xdr:row>33</xdr:row>
      <xdr:rowOff>44823</xdr:rowOff>
    </xdr:from>
    <xdr:to>
      <xdr:col>5</xdr:col>
      <xdr:colOff>448236</xdr:colOff>
      <xdr:row>34</xdr:row>
      <xdr:rowOff>145675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rot="10800000" flipV="1">
          <a:off x="3211608" y="6642847"/>
          <a:ext cx="1001804" cy="280146"/>
        </a:xfrm>
        <a:prstGeom prst="curvedConnector3">
          <a:avLst>
            <a:gd name="adj1" fmla="val -8166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38</xdr:row>
      <xdr:rowOff>38660</xdr:rowOff>
    </xdr:from>
    <xdr:to>
      <xdr:col>22</xdr:col>
      <xdr:colOff>54348</xdr:colOff>
      <xdr:row>39</xdr:row>
      <xdr:rowOff>124385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99CEA145-718F-54A2-C10E-9D048FB5E9C4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SpPr/>
      </xdr:nvSpPr>
      <xdr:spPr>
        <a:xfrm rot="5369030">
          <a:off x="15179768" y="8149758"/>
          <a:ext cx="265020" cy="1452282"/>
        </a:xfrm>
        <a:prstGeom prst="rightBrac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106680</xdr:colOff>
          <xdr:row>0</xdr:row>
          <xdr:rowOff>213360</xdr:rowOff>
        </xdr:from>
        <xdr:to>
          <xdr:col>20</xdr:col>
          <xdr:colOff>220980</xdr:colOff>
          <xdr:row>2</xdr:row>
          <xdr:rowOff>236220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700" b="0" i="0" u="none" strike="noStrike" baseline="0">
                  <a:solidFill>
                    <a:srgbClr val="000000"/>
                  </a:solidFill>
                  <a:latin typeface="Georgia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295836</xdr:colOff>
      <xdr:row>6</xdr:row>
      <xdr:rowOff>71718</xdr:rowOff>
    </xdr:from>
    <xdr:to>
      <xdr:col>20</xdr:col>
      <xdr:colOff>770964</xdr:colOff>
      <xdr:row>6</xdr:row>
      <xdr:rowOff>242046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13DF99B5-0C49-34DA-46E5-EE9D4477CA3E}"/>
            </a:ext>
          </a:extLst>
        </xdr:cNvPr>
        <xdr:cNvSpPr/>
      </xdr:nvSpPr>
      <xdr:spPr>
        <a:xfrm rot="5400000">
          <a:off x="14607989" y="1116106"/>
          <a:ext cx="170328" cy="1308846"/>
        </a:xfrm>
        <a:prstGeom prst="rightBrace">
          <a:avLst>
            <a:gd name="adj1" fmla="val 127083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2"/>
  <sheetViews>
    <sheetView tabSelected="1" topLeftCell="A30" zoomScale="85" zoomScaleNormal="85" workbookViewId="0">
      <selection activeCell="S39" sqref="S39"/>
    </sheetView>
  </sheetViews>
  <sheetFormatPr defaultRowHeight="14.4" x14ac:dyDescent="0.3"/>
  <cols>
    <col min="1" max="1" width="19.33203125" customWidth="1"/>
    <col min="7" max="7" width="11.5546875" bestFit="1" customWidth="1"/>
    <col min="8" max="8" width="9.109375" customWidth="1"/>
    <col min="9" max="9" width="13.88671875" bestFit="1" customWidth="1"/>
    <col min="10" max="10" width="8.6640625" customWidth="1"/>
    <col min="11" max="11" width="10.5546875" bestFit="1" customWidth="1"/>
    <col min="12" max="12" width="8.88671875" customWidth="1"/>
    <col min="14" max="14" width="13.33203125" customWidth="1"/>
    <col min="16" max="16" width="12" customWidth="1"/>
    <col min="17" max="17" width="9.109375" customWidth="1"/>
    <col min="18" max="18" width="11.6640625" customWidth="1"/>
    <col min="19" max="19" width="10.109375" customWidth="1"/>
    <col min="20" max="20" width="12.109375" customWidth="1"/>
    <col min="21" max="21" width="11.6640625" bestFit="1" customWidth="1"/>
  </cols>
  <sheetData>
    <row r="1" spans="1:23" ht="21" customHeight="1" x14ac:dyDescent="0.4">
      <c r="E1" s="10"/>
      <c r="F1" s="10"/>
      <c r="G1" s="48" t="s">
        <v>0</v>
      </c>
      <c r="H1" s="48"/>
      <c r="I1" s="48"/>
      <c r="J1" s="48"/>
      <c r="K1" s="48"/>
      <c r="L1" s="48"/>
      <c r="M1" s="48"/>
      <c r="N1" s="48"/>
      <c r="O1" s="48"/>
      <c r="P1" s="48"/>
    </row>
    <row r="2" spans="1:23" ht="21" customHeight="1" x14ac:dyDescent="0.3">
      <c r="L2" s="21"/>
      <c r="M2" s="21"/>
      <c r="N2" s="21"/>
      <c r="O2" s="21"/>
      <c r="P2" s="21"/>
    </row>
    <row r="3" spans="1:23" ht="21" customHeight="1" x14ac:dyDescent="0.4">
      <c r="A3" s="49" t="s">
        <v>39</v>
      </c>
      <c r="B3" s="56"/>
      <c r="C3" s="56"/>
      <c r="D3" s="56"/>
      <c r="E3" s="56"/>
      <c r="F3" s="56"/>
      <c r="G3" s="56"/>
      <c r="H3" s="10" t="s">
        <v>2</v>
      </c>
      <c r="I3" s="57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Shift End TEMPLATE</v>
      </c>
      <c r="J3" s="57"/>
      <c r="K3" s="57"/>
      <c r="L3" s="21"/>
      <c r="M3" s="21"/>
      <c r="N3" s="21"/>
      <c r="O3" s="21"/>
      <c r="P3" s="21"/>
    </row>
    <row r="4" spans="1:23" ht="21" customHeight="1" x14ac:dyDescent="0.4">
      <c r="A4" s="49" t="s">
        <v>1</v>
      </c>
      <c r="B4" s="49"/>
      <c r="C4" s="49"/>
      <c r="D4" s="49"/>
      <c r="E4" s="49"/>
      <c r="F4" s="49"/>
      <c r="G4" s="49"/>
      <c r="H4" s="10" t="s">
        <v>2</v>
      </c>
      <c r="I4" s="52" t="e">
        <f ca="1">IF(OR(TEXT(DATEVALUE(SUBSTITUTE(I3,".","/")),"ddd")={"Sat","Sun"}), "NO", "YES")</f>
        <v>#VALUE!</v>
      </c>
      <c r="J4" s="52"/>
      <c r="K4" s="52"/>
      <c r="L4" s="21"/>
      <c r="M4" s="21"/>
      <c r="N4" s="46" t="s">
        <v>48</v>
      </c>
      <c r="O4" s="46"/>
      <c r="P4" s="46"/>
      <c r="Q4" s="46"/>
      <c r="R4" s="37" t="s">
        <v>2</v>
      </c>
      <c r="S4" s="44"/>
      <c r="T4" s="44"/>
      <c r="U4" s="44"/>
    </row>
    <row r="5" spans="1:23" ht="21" customHeight="1" x14ac:dyDescent="0.4">
      <c r="A5" s="49" t="s">
        <v>46</v>
      </c>
      <c r="B5" s="49"/>
      <c r="C5" s="49"/>
      <c r="D5" s="49"/>
      <c r="E5" s="49"/>
      <c r="F5" s="49"/>
      <c r="G5" s="49"/>
      <c r="H5" s="10" t="s">
        <v>2</v>
      </c>
      <c r="I5" s="52" t="s">
        <v>45</v>
      </c>
      <c r="J5" s="52"/>
      <c r="K5" s="52"/>
      <c r="L5" s="21"/>
      <c r="M5" s="21"/>
      <c r="N5" s="46" t="s">
        <v>49</v>
      </c>
      <c r="O5" s="46"/>
      <c r="P5" s="46"/>
      <c r="Q5" s="46"/>
      <c r="R5" s="37" t="s">
        <v>2</v>
      </c>
      <c r="S5" s="45"/>
      <c r="T5" s="45"/>
      <c r="U5" s="45"/>
    </row>
    <row r="6" spans="1:23" ht="21" customHeight="1" x14ac:dyDescent="0.4">
      <c r="A6" s="36"/>
      <c r="B6" s="36"/>
      <c r="C6" s="36"/>
      <c r="D6" s="36"/>
      <c r="E6" s="36"/>
      <c r="F6" s="36"/>
      <c r="G6" s="36"/>
      <c r="H6" s="10"/>
      <c r="I6" s="38"/>
      <c r="J6" s="38"/>
      <c r="K6" s="38"/>
      <c r="L6" s="21"/>
      <c r="M6" s="21"/>
      <c r="N6" s="49" t="s">
        <v>53</v>
      </c>
      <c r="O6" s="49"/>
      <c r="P6" s="49"/>
      <c r="Q6" s="49"/>
      <c r="R6" s="41" t="s">
        <v>2</v>
      </c>
      <c r="S6" s="79" t="e">
        <f ca="1">IF(I4="NO",S5+I9+L9+O9+R9,IF(I5="NO",S5+I9+L9+O9+R9,S5+I9+L9+O9))</f>
        <v>#VALUE!</v>
      </c>
      <c r="T6" s="79"/>
      <c r="U6" s="79"/>
    </row>
    <row r="7" spans="1:23" ht="21" customHeight="1" x14ac:dyDescent="0.4">
      <c r="A7" s="55" t="s">
        <v>3</v>
      </c>
      <c r="B7" s="55"/>
      <c r="C7" s="55"/>
      <c r="D7" s="55"/>
      <c r="E7" s="55"/>
      <c r="F7" s="55"/>
      <c r="G7" s="55"/>
      <c r="H7" s="10" t="s">
        <v>2</v>
      </c>
      <c r="I7" s="53">
        <v>30000</v>
      </c>
      <c r="J7" s="53"/>
      <c r="K7" s="53"/>
      <c r="L7" s="21"/>
      <c r="M7" s="21"/>
      <c r="N7" s="21"/>
      <c r="O7" s="21"/>
      <c r="P7" s="21"/>
    </row>
    <row r="8" spans="1:23" ht="21" customHeight="1" x14ac:dyDescent="0.4">
      <c r="A8" s="55" t="s">
        <v>51</v>
      </c>
      <c r="B8" s="55"/>
      <c r="C8" s="55"/>
      <c r="D8" s="55"/>
      <c r="E8" s="55"/>
      <c r="F8" s="55"/>
      <c r="G8" s="55"/>
      <c r="H8" s="10" t="s">
        <v>2</v>
      </c>
      <c r="I8" s="47"/>
      <c r="J8" s="47"/>
      <c r="K8" s="39" t="s">
        <v>50</v>
      </c>
      <c r="L8" s="47"/>
      <c r="M8" s="47"/>
      <c r="N8" s="40" t="s">
        <v>50</v>
      </c>
      <c r="O8" s="47"/>
      <c r="P8" s="47"/>
      <c r="Q8" s="40" t="s">
        <v>50</v>
      </c>
      <c r="R8" s="47"/>
      <c r="S8" s="47"/>
      <c r="U8" s="80" t="s">
        <v>54</v>
      </c>
      <c r="V8" s="81"/>
      <c r="W8" s="42"/>
    </row>
    <row r="9" spans="1:23" ht="21" customHeight="1" x14ac:dyDescent="0.4">
      <c r="A9" s="55" t="s">
        <v>52</v>
      </c>
      <c r="B9" s="55"/>
      <c r="C9" s="55"/>
      <c r="D9" s="55"/>
      <c r="E9" s="55"/>
      <c r="F9" s="55"/>
      <c r="G9" s="55"/>
      <c r="H9" s="10" t="s">
        <v>2</v>
      </c>
      <c r="I9" s="47"/>
      <c r="J9" s="47"/>
      <c r="K9" s="39" t="s">
        <v>50</v>
      </c>
      <c r="L9" s="47"/>
      <c r="M9" s="47"/>
      <c r="N9" s="40" t="s">
        <v>50</v>
      </c>
      <c r="O9" s="47"/>
      <c r="P9" s="47"/>
      <c r="Q9" s="40" t="s">
        <v>50</v>
      </c>
      <c r="R9" s="47"/>
      <c r="S9" s="47"/>
      <c r="U9" s="82" t="s">
        <v>55</v>
      </c>
      <c r="V9" s="83"/>
      <c r="W9" s="42"/>
    </row>
    <row r="10" spans="1:23" ht="21" customHeight="1" x14ac:dyDescent="0.4">
      <c r="O10" s="37"/>
    </row>
    <row r="11" spans="1:23" ht="21" customHeight="1" x14ac:dyDescent="0.3"/>
    <row r="12" spans="1:23" ht="15" customHeight="1" x14ac:dyDescent="0.3">
      <c r="A12" s="54" t="s">
        <v>4</v>
      </c>
      <c r="B12" s="54"/>
      <c r="C12" s="54"/>
      <c r="E12" s="54" t="s">
        <v>5</v>
      </c>
      <c r="F12" s="54"/>
      <c r="G12" s="54"/>
      <c r="I12" s="54" t="s">
        <v>6</v>
      </c>
      <c r="J12" s="54"/>
      <c r="K12" s="54"/>
      <c r="M12" s="54" t="s">
        <v>7</v>
      </c>
      <c r="N12" s="54"/>
      <c r="O12" s="54"/>
      <c r="P12" s="3"/>
      <c r="Q12" s="7" t="s">
        <v>40</v>
      </c>
      <c r="U12" s="54" t="s">
        <v>8</v>
      </c>
      <c r="V12" s="54"/>
    </row>
    <row r="14" spans="1:23" x14ac:dyDescent="0.3">
      <c r="A14">
        <v>5000</v>
      </c>
      <c r="B14" s="2"/>
      <c r="C14">
        <f>A14*B14</f>
        <v>0</v>
      </c>
      <c r="E14">
        <v>5000</v>
      </c>
      <c r="F14" s="2"/>
      <c r="G14">
        <f>E14*F14</f>
        <v>0</v>
      </c>
      <c r="I14">
        <v>5000</v>
      </c>
      <c r="J14" s="2"/>
      <c r="K14">
        <f>I14*J14</f>
        <v>0</v>
      </c>
      <c r="L14" t="s">
        <v>9</v>
      </c>
      <c r="M14">
        <v>5000</v>
      </c>
      <c r="N14" s="2"/>
      <c r="O14">
        <f>M14*N14</f>
        <v>0</v>
      </c>
      <c r="P14">
        <v>5000</v>
      </c>
      <c r="Q14" s="2"/>
      <c r="R14">
        <f>P14*Q14</f>
        <v>0</v>
      </c>
      <c r="T14" s="8"/>
      <c r="U14" s="12">
        <f>B14+F14+J14+N14+Q14</f>
        <v>0</v>
      </c>
    </row>
    <row r="15" spans="1:23" x14ac:dyDescent="0.3">
      <c r="A15">
        <v>1000</v>
      </c>
      <c r="B15" s="5"/>
      <c r="C15">
        <f t="shared" ref="C15:C23" si="0">A15*B15</f>
        <v>0</v>
      </c>
      <c r="E15">
        <v>1000</v>
      </c>
      <c r="F15" s="2"/>
      <c r="G15">
        <f t="shared" ref="G15:G23" si="1">E15*F15</f>
        <v>0</v>
      </c>
      <c r="I15">
        <v>1000</v>
      </c>
      <c r="J15" s="2"/>
      <c r="K15">
        <f t="shared" ref="K15:K23" si="2">I15*J15</f>
        <v>0</v>
      </c>
      <c r="M15">
        <v>1000</v>
      </c>
      <c r="N15" s="2"/>
      <c r="O15">
        <f t="shared" ref="O15:O23" si="3">M15*N15</f>
        <v>0</v>
      </c>
      <c r="P15">
        <v>1000</v>
      </c>
      <c r="Q15" s="2"/>
      <c r="R15">
        <f t="shared" ref="R15:R23" si="4">P15*Q15</f>
        <v>0</v>
      </c>
      <c r="T15" s="8"/>
      <c r="U15" s="12">
        <f t="shared" ref="U15:U23" si="5">B15+F15+J15+N15+Q15</f>
        <v>0</v>
      </c>
    </row>
    <row r="16" spans="1:23" x14ac:dyDescent="0.3">
      <c r="A16">
        <v>500</v>
      </c>
      <c r="B16" s="2"/>
      <c r="C16">
        <f t="shared" si="0"/>
        <v>0</v>
      </c>
      <c r="E16">
        <v>500</v>
      </c>
      <c r="F16" s="2"/>
      <c r="G16">
        <f t="shared" si="1"/>
        <v>0</v>
      </c>
      <c r="I16">
        <v>500</v>
      </c>
      <c r="J16" s="2"/>
      <c r="K16">
        <f t="shared" si="2"/>
        <v>0</v>
      </c>
      <c r="M16">
        <v>500</v>
      </c>
      <c r="N16" s="2"/>
      <c r="O16">
        <f t="shared" si="3"/>
        <v>0</v>
      </c>
      <c r="P16">
        <v>500</v>
      </c>
      <c r="Q16" s="2"/>
      <c r="R16">
        <f t="shared" si="4"/>
        <v>0</v>
      </c>
      <c r="T16" s="8"/>
      <c r="U16" s="12">
        <f t="shared" si="5"/>
        <v>0</v>
      </c>
    </row>
    <row r="17" spans="1:21" x14ac:dyDescent="0.3">
      <c r="A17">
        <v>100</v>
      </c>
      <c r="B17" s="2"/>
      <c r="C17">
        <f t="shared" si="0"/>
        <v>0</v>
      </c>
      <c r="E17">
        <v>100</v>
      </c>
      <c r="F17" s="2"/>
      <c r="G17">
        <f t="shared" si="1"/>
        <v>0</v>
      </c>
      <c r="I17">
        <v>100</v>
      </c>
      <c r="J17" s="2"/>
      <c r="K17">
        <f t="shared" si="2"/>
        <v>0</v>
      </c>
      <c r="M17">
        <v>100</v>
      </c>
      <c r="N17" s="2"/>
      <c r="O17">
        <f t="shared" si="3"/>
        <v>0</v>
      </c>
      <c r="P17">
        <v>100</v>
      </c>
      <c r="Q17" s="2"/>
      <c r="R17">
        <f t="shared" si="4"/>
        <v>0</v>
      </c>
      <c r="T17" s="8"/>
      <c r="U17" s="12">
        <f t="shared" si="5"/>
        <v>0</v>
      </c>
    </row>
    <row r="18" spans="1:21" x14ac:dyDescent="0.3">
      <c r="A18">
        <v>50</v>
      </c>
      <c r="B18" s="2"/>
      <c r="C18">
        <f t="shared" si="0"/>
        <v>0</v>
      </c>
      <c r="E18">
        <v>50</v>
      </c>
      <c r="F18" s="2"/>
      <c r="G18">
        <f t="shared" si="1"/>
        <v>0</v>
      </c>
      <c r="I18">
        <v>50</v>
      </c>
      <c r="J18" s="2"/>
      <c r="K18">
        <f t="shared" si="2"/>
        <v>0</v>
      </c>
      <c r="M18">
        <v>50</v>
      </c>
      <c r="N18" s="2"/>
      <c r="O18">
        <f t="shared" si="3"/>
        <v>0</v>
      </c>
      <c r="P18">
        <v>50</v>
      </c>
      <c r="Q18" s="2"/>
      <c r="R18">
        <f t="shared" si="4"/>
        <v>0</v>
      </c>
      <c r="T18" s="8"/>
      <c r="U18" s="12">
        <f t="shared" si="5"/>
        <v>0</v>
      </c>
    </row>
    <row r="19" spans="1:21" x14ac:dyDescent="0.3">
      <c r="A19">
        <v>20</v>
      </c>
      <c r="B19" s="2"/>
      <c r="C19">
        <f t="shared" si="0"/>
        <v>0</v>
      </c>
      <c r="E19">
        <v>20</v>
      </c>
      <c r="F19" s="2"/>
      <c r="G19">
        <f t="shared" si="1"/>
        <v>0</v>
      </c>
      <c r="I19">
        <v>20</v>
      </c>
      <c r="J19" s="2"/>
      <c r="K19">
        <f t="shared" si="2"/>
        <v>0</v>
      </c>
      <c r="M19">
        <v>20</v>
      </c>
      <c r="N19" s="2"/>
      <c r="O19">
        <f t="shared" si="3"/>
        <v>0</v>
      </c>
      <c r="P19">
        <v>20</v>
      </c>
      <c r="Q19" s="2"/>
      <c r="R19">
        <f t="shared" si="4"/>
        <v>0</v>
      </c>
      <c r="T19" s="8"/>
      <c r="U19" s="12">
        <f t="shared" si="5"/>
        <v>0</v>
      </c>
    </row>
    <row r="20" spans="1:21" x14ac:dyDescent="0.3">
      <c r="A20">
        <v>10</v>
      </c>
      <c r="B20" s="2"/>
      <c r="C20">
        <f t="shared" si="0"/>
        <v>0</v>
      </c>
      <c r="E20">
        <v>10</v>
      </c>
      <c r="F20" s="2"/>
      <c r="G20">
        <f t="shared" si="1"/>
        <v>0</v>
      </c>
      <c r="I20">
        <v>10</v>
      </c>
      <c r="J20" s="2"/>
      <c r="K20">
        <f t="shared" si="2"/>
        <v>0</v>
      </c>
      <c r="M20">
        <v>10</v>
      </c>
      <c r="N20" s="2"/>
      <c r="O20">
        <f t="shared" si="3"/>
        <v>0</v>
      </c>
      <c r="P20">
        <v>10</v>
      </c>
      <c r="Q20" s="2"/>
      <c r="R20">
        <f t="shared" si="4"/>
        <v>0</v>
      </c>
      <c r="T20" s="8"/>
      <c r="U20" s="12">
        <f t="shared" si="5"/>
        <v>0</v>
      </c>
    </row>
    <row r="21" spans="1:21" x14ac:dyDescent="0.3">
      <c r="A21">
        <v>5</v>
      </c>
      <c r="B21" s="2"/>
      <c r="C21">
        <f t="shared" si="0"/>
        <v>0</v>
      </c>
      <c r="E21">
        <v>5</v>
      </c>
      <c r="F21" s="2"/>
      <c r="G21">
        <f t="shared" si="1"/>
        <v>0</v>
      </c>
      <c r="I21">
        <v>5</v>
      </c>
      <c r="J21" s="2"/>
      <c r="K21">
        <f t="shared" si="2"/>
        <v>0</v>
      </c>
      <c r="M21">
        <v>5</v>
      </c>
      <c r="N21" s="2"/>
      <c r="O21">
        <f t="shared" si="3"/>
        <v>0</v>
      </c>
      <c r="P21">
        <v>5</v>
      </c>
      <c r="Q21" s="2"/>
      <c r="R21">
        <f t="shared" si="4"/>
        <v>0</v>
      </c>
      <c r="T21" s="8"/>
      <c r="U21" s="12">
        <f t="shared" si="5"/>
        <v>0</v>
      </c>
    </row>
    <row r="22" spans="1:21" x14ac:dyDescent="0.3">
      <c r="A22">
        <v>2</v>
      </c>
      <c r="B22" s="2"/>
      <c r="C22">
        <f t="shared" si="0"/>
        <v>0</v>
      </c>
      <c r="E22">
        <v>2</v>
      </c>
      <c r="F22" s="2"/>
      <c r="G22">
        <f t="shared" si="1"/>
        <v>0</v>
      </c>
      <c r="I22">
        <v>2</v>
      </c>
      <c r="J22" s="2"/>
      <c r="K22">
        <f t="shared" si="2"/>
        <v>0</v>
      </c>
      <c r="M22">
        <v>2</v>
      </c>
      <c r="N22" s="2"/>
      <c r="O22">
        <f t="shared" si="3"/>
        <v>0</v>
      </c>
      <c r="P22">
        <v>2</v>
      </c>
      <c r="Q22" s="2"/>
      <c r="R22">
        <f t="shared" si="4"/>
        <v>0</v>
      </c>
      <c r="T22" s="8"/>
      <c r="U22" s="12">
        <f t="shared" si="5"/>
        <v>0</v>
      </c>
    </row>
    <row r="23" spans="1:21" x14ac:dyDescent="0.3">
      <c r="A23">
        <v>1</v>
      </c>
      <c r="B23" s="6"/>
      <c r="C23">
        <f t="shared" si="0"/>
        <v>0</v>
      </c>
      <c r="E23">
        <v>1</v>
      </c>
      <c r="F23" s="2"/>
      <c r="G23">
        <f t="shared" si="1"/>
        <v>0</v>
      </c>
      <c r="I23">
        <v>1</v>
      </c>
      <c r="J23" s="2"/>
      <c r="K23">
        <f t="shared" si="2"/>
        <v>0</v>
      </c>
      <c r="M23">
        <v>1</v>
      </c>
      <c r="N23" s="2"/>
      <c r="O23">
        <f t="shared" si="3"/>
        <v>0</v>
      </c>
      <c r="P23">
        <v>1</v>
      </c>
      <c r="Q23" s="2"/>
      <c r="R23">
        <f t="shared" si="4"/>
        <v>0</v>
      </c>
      <c r="T23" s="8"/>
      <c r="U23" s="12">
        <f t="shared" si="5"/>
        <v>0</v>
      </c>
    </row>
    <row r="24" spans="1:21" x14ac:dyDescent="0.3">
      <c r="A24" t="s">
        <v>10</v>
      </c>
      <c r="C24" s="9">
        <f>SUM(C14:C23)</f>
        <v>0</v>
      </c>
      <c r="G24" s="9">
        <f>SUM(G14:G23)</f>
        <v>0</v>
      </c>
      <c r="K24" s="9">
        <f>SUM(K14:K23)</f>
        <v>0</v>
      </c>
      <c r="O24" s="9">
        <f>SUM(O14:O23)</f>
        <v>0</v>
      </c>
      <c r="R24" s="9">
        <f>SUM(R14:R23)</f>
        <v>0</v>
      </c>
      <c r="T24" s="8">
        <f>C24+G24+K24+O24+R24</f>
        <v>0</v>
      </c>
    </row>
    <row r="25" spans="1:21" x14ac:dyDescent="0.3">
      <c r="T25" s="8"/>
    </row>
    <row r="26" spans="1:21" x14ac:dyDescent="0.3">
      <c r="A26" t="s">
        <v>11</v>
      </c>
      <c r="C26" s="24"/>
      <c r="D26" s="1" t="s">
        <v>9</v>
      </c>
      <c r="E26" s="1"/>
      <c r="F26" s="1"/>
      <c r="G26" s="25"/>
      <c r="H26" s="1" t="s">
        <v>12</v>
      </c>
      <c r="I26" s="1"/>
      <c r="J26" s="1"/>
      <c r="K26" s="24"/>
      <c r="L26" s="1"/>
      <c r="M26" s="1"/>
      <c r="N26" s="1"/>
      <c r="O26" s="24"/>
      <c r="P26" s="1"/>
      <c r="Q26" s="1"/>
      <c r="R26" s="25"/>
      <c r="S26" s="1"/>
      <c r="T26" s="1">
        <f>C26+G26+K26+O26+R26</f>
        <v>0</v>
      </c>
    </row>
    <row r="27" spans="1:21" x14ac:dyDescent="0.3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1" x14ac:dyDescent="0.3">
      <c r="A28" t="s">
        <v>13</v>
      </c>
      <c r="C28" s="1">
        <f>C24-C26</f>
        <v>0</v>
      </c>
      <c r="D28" s="1"/>
      <c r="E28" s="1"/>
      <c r="F28" s="1"/>
      <c r="G28" s="1">
        <f>G24-G26</f>
        <v>0</v>
      </c>
      <c r="H28" s="1"/>
      <c r="I28" s="1"/>
      <c r="J28" s="1"/>
      <c r="K28" s="1">
        <f>K24-K26</f>
        <v>0</v>
      </c>
      <c r="L28" s="1"/>
      <c r="M28" s="1"/>
      <c r="N28" s="1"/>
      <c r="O28" s="1">
        <f>O24-O26</f>
        <v>0</v>
      </c>
      <c r="P28" s="1"/>
      <c r="Q28" s="1"/>
      <c r="R28" s="1">
        <f>R24-R26</f>
        <v>0</v>
      </c>
      <c r="S28" s="1"/>
      <c r="T28" s="1">
        <f>IF(0&lt;C28,C28,0) + IF(0&lt;G28,G28,0) + IF(0&lt;K28,K28,0) + IF(0&lt;O28,O28,0) + IF(0&lt;R28,R28,0)</f>
        <v>0</v>
      </c>
    </row>
    <row r="29" spans="1:21" x14ac:dyDescent="0.3">
      <c r="A29" t="s">
        <v>14</v>
      </c>
      <c r="C29" s="18" t="str">
        <f>IF(C28=0, " ", IF(C28&lt;0,"UNPAID"," "))</f>
        <v xml:space="preserve"> </v>
      </c>
      <c r="D29" s="18" t="str">
        <f t="shared" ref="D29:R29" si="6">IF(D28=0, " ", IF(D28&lt;0,"UNPAID"," "))</f>
        <v xml:space="preserve"> </v>
      </c>
      <c r="E29" s="18" t="str">
        <f t="shared" si="6"/>
        <v xml:space="preserve"> </v>
      </c>
      <c r="F29" s="18" t="str">
        <f t="shared" si="6"/>
        <v xml:space="preserve"> </v>
      </c>
      <c r="G29" s="18" t="str">
        <f t="shared" si="6"/>
        <v xml:space="preserve"> </v>
      </c>
      <c r="H29" s="18" t="str">
        <f t="shared" si="6"/>
        <v xml:space="preserve"> </v>
      </c>
      <c r="I29" s="18" t="str">
        <f t="shared" si="6"/>
        <v xml:space="preserve"> </v>
      </c>
      <c r="J29" s="18" t="str">
        <f t="shared" si="6"/>
        <v xml:space="preserve"> </v>
      </c>
      <c r="K29" s="18" t="str">
        <f t="shared" si="6"/>
        <v xml:space="preserve"> </v>
      </c>
      <c r="L29" s="18" t="str">
        <f t="shared" si="6"/>
        <v xml:space="preserve"> </v>
      </c>
      <c r="M29" s="18" t="str">
        <f t="shared" si="6"/>
        <v xml:space="preserve"> </v>
      </c>
      <c r="N29" s="18" t="str">
        <f t="shared" si="6"/>
        <v xml:space="preserve"> </v>
      </c>
      <c r="O29" s="18" t="str">
        <f t="shared" si="6"/>
        <v xml:space="preserve"> </v>
      </c>
      <c r="P29" s="18" t="str">
        <f t="shared" si="6"/>
        <v xml:space="preserve"> </v>
      </c>
      <c r="Q29" s="18" t="str">
        <f t="shared" si="6"/>
        <v xml:space="preserve"> </v>
      </c>
      <c r="R29" s="18" t="str">
        <f t="shared" si="6"/>
        <v xml:space="preserve"> </v>
      </c>
    </row>
    <row r="32" spans="1:21" ht="24.75" customHeight="1" thickBot="1" x14ac:dyDescent="0.7">
      <c r="A32" s="51" t="s">
        <v>15</v>
      </c>
      <c r="B32" s="51"/>
      <c r="C32" s="51"/>
      <c r="E32" s="11"/>
      <c r="F32" s="11"/>
      <c r="G32" s="11"/>
      <c r="J32" s="50" t="s">
        <v>16</v>
      </c>
      <c r="K32" s="50"/>
      <c r="L32" s="50"/>
      <c r="M32" s="50"/>
      <c r="N32" s="50"/>
      <c r="O32" s="50"/>
      <c r="P32" s="50"/>
      <c r="Q32" s="50"/>
      <c r="R32" s="50"/>
    </row>
    <row r="33" spans="1:22" ht="21" x14ac:dyDescent="0.4">
      <c r="A33" s="10" t="s">
        <v>17</v>
      </c>
      <c r="B33" s="55">
        <v>1000658994</v>
      </c>
      <c r="C33" s="55"/>
      <c r="E33" s="58" t="s">
        <v>18</v>
      </c>
      <c r="F33" s="59"/>
      <c r="G33" s="59"/>
      <c r="H33" s="60"/>
    </row>
    <row r="35" spans="1:22" ht="21.75" customHeight="1" x14ac:dyDescent="0.4">
      <c r="A35" s="23" t="s">
        <v>19</v>
      </c>
      <c r="B35" s="68">
        <f>IF(T26-INT(T26)&lt;0.5,INT(T26),ROUNDUP(T26,0))</f>
        <v>0</v>
      </c>
      <c r="C35" s="68"/>
      <c r="D35" s="68"/>
      <c r="G35" s="4" t="s">
        <v>43</v>
      </c>
      <c r="H35" s="73" t="s">
        <v>20</v>
      </c>
      <c r="I35" s="74"/>
      <c r="J35" s="70" t="s">
        <v>21</v>
      </c>
      <c r="K35" s="70"/>
      <c r="L35" s="70" t="s">
        <v>22</v>
      </c>
      <c r="M35" s="70"/>
      <c r="N35" s="35" t="s">
        <v>44</v>
      </c>
      <c r="O35" s="70" t="s">
        <v>19</v>
      </c>
      <c r="P35" s="70"/>
      <c r="Q35" s="4" t="s">
        <v>23</v>
      </c>
      <c r="R35" s="4" t="s">
        <v>24</v>
      </c>
      <c r="S35" s="35" t="s">
        <v>42</v>
      </c>
      <c r="T35" s="35" t="s">
        <v>47</v>
      </c>
      <c r="U35" s="70" t="s">
        <v>25</v>
      </c>
      <c r="V35" s="70"/>
    </row>
    <row r="36" spans="1:22" ht="21.75" customHeight="1" x14ac:dyDescent="0.4">
      <c r="A36" s="22" t="s">
        <v>24</v>
      </c>
      <c r="B36" s="68">
        <f>IF(T28-INT(T28)&lt;0.5,INT(T28),ROUNDUP(T28,0))</f>
        <v>0</v>
      </c>
      <c r="C36" s="68"/>
      <c r="D36" s="68"/>
      <c r="E36" s="34"/>
      <c r="F36" t="s">
        <v>41</v>
      </c>
      <c r="G36" s="32" t="str">
        <f ca="1">TEXT(TIME(7,15,0) + RAND()*(TIME(7,35,0)-TIME(7,15,0)),"hh:mm AM/PM")</f>
        <v>07:29 AM</v>
      </c>
      <c r="H36" s="71">
        <f>S4</f>
        <v>0</v>
      </c>
      <c r="I36" s="72"/>
      <c r="J36" s="67"/>
      <c r="K36" s="67"/>
      <c r="L36" s="67">
        <f>I7</f>
        <v>30000</v>
      </c>
      <c r="M36" s="67"/>
      <c r="N36" s="43">
        <f ca="1">G36 + TIME(0,RANDBETWEEN(2,3),0)</f>
        <v>0.31388888888888888</v>
      </c>
      <c r="O36" s="84"/>
      <c r="P36" s="84"/>
      <c r="Q36" s="85">
        <f>I7</f>
        <v>30000</v>
      </c>
      <c r="R36" s="85"/>
      <c r="S36" s="86"/>
      <c r="T36" s="86"/>
      <c r="U36" s="84">
        <f>H36+J36-L36</f>
        <v>-30000</v>
      </c>
      <c r="V36" s="84"/>
    </row>
    <row r="37" spans="1:22" ht="23.25" customHeight="1" x14ac:dyDescent="0.3">
      <c r="A37" s="65" t="s">
        <v>25</v>
      </c>
      <c r="B37" s="69">
        <f>B35+B36</f>
        <v>0</v>
      </c>
      <c r="C37" s="69"/>
      <c r="D37" s="69"/>
      <c r="E37" s="34"/>
      <c r="F37" t="s">
        <v>26</v>
      </c>
      <c r="G37" s="32" t="str">
        <f ca="1">TEXT(TIME(8,30,0) + RAND()*(TIME(9,30,0)-TIME(8,30,0)),"hh:mm AM/PM")</f>
        <v>09:22 AM</v>
      </c>
      <c r="H37" s="71" t="e">
        <f ca="1">IF(I4="YES",U36,0)</f>
        <v>#VALUE!</v>
      </c>
      <c r="I37" s="72"/>
      <c r="J37" s="71"/>
      <c r="K37" s="72"/>
      <c r="L37" s="67" t="e">
        <f ca="1">IF(I4="NO",0,IF(I5="YES",H37,H37-S5))</f>
        <v>#VALUE!</v>
      </c>
      <c r="M37" s="67"/>
      <c r="N37" s="43">
        <f ca="1">G37 + TIME(0,RANDBETWEEN(2,3),0)</f>
        <v>0.3923611111111111</v>
      </c>
      <c r="O37" s="84"/>
      <c r="P37" s="84"/>
      <c r="Q37" s="85"/>
      <c r="R37" s="85"/>
      <c r="S37" s="86"/>
      <c r="T37" s="86"/>
      <c r="U37" s="84" t="e">
        <f ca="1">H37+J37-L37</f>
        <v>#VALUE!</v>
      </c>
      <c r="V37" s="84"/>
    </row>
    <row r="38" spans="1:22" ht="21.75" customHeight="1" x14ac:dyDescent="0.3">
      <c r="A38" s="66"/>
      <c r="B38" s="69"/>
      <c r="C38" s="69"/>
      <c r="D38" s="69"/>
      <c r="F38" t="s">
        <v>27</v>
      </c>
      <c r="G38" s="32" t="str">
        <f ca="1">TEXT(TIME(22,30,0) + RAND()*(TIME(22,45,0)-TIME(22,30,0)),"hh:mm AM/PM")</f>
        <v>10:31 PM</v>
      </c>
      <c r="H38" s="71" t="e">
        <f ca="1">IF(I4="YES",U37,U36)</f>
        <v>#VALUE!</v>
      </c>
      <c r="I38" s="72"/>
      <c r="J38" s="67">
        <f>SUM(O38:T38)</f>
        <v>30000</v>
      </c>
      <c r="K38" s="67"/>
      <c r="L38" s="67"/>
      <c r="M38" s="67"/>
      <c r="N38" s="43">
        <f ca="1">G38 + TIME(0,RANDBETWEEN(2,3),0)</f>
        <v>0.94027777777777777</v>
      </c>
      <c r="O38" s="87">
        <f>IF(B35-INT(B35)&lt;0.5,INT(B35),ROUNDUP(B35,0))</f>
        <v>0</v>
      </c>
      <c r="P38" s="87"/>
      <c r="Q38" s="88">
        <f>I7</f>
        <v>30000</v>
      </c>
      <c r="R38" s="88">
        <f>IF(B36-INT(B36)&lt;0.5,INT(B36),ROUNDUP(B36,0))</f>
        <v>0</v>
      </c>
      <c r="S38" s="85">
        <f>I8+L8+O8+R8</f>
        <v>0</v>
      </c>
      <c r="T38" s="85">
        <f>I9+L9+O9+R9</f>
        <v>0</v>
      </c>
      <c r="U38" s="89" t="e">
        <f ca="1">H38+J38-L38</f>
        <v>#VALUE!</v>
      </c>
      <c r="V38" s="89"/>
    </row>
    <row r="39" spans="1:22" x14ac:dyDescent="0.3">
      <c r="O39" s="1"/>
    </row>
    <row r="40" spans="1:22" ht="15" thickBot="1" x14ac:dyDescent="0.35">
      <c r="O40" s="1"/>
    </row>
    <row r="41" spans="1:22" ht="14.4" customHeight="1" x14ac:dyDescent="0.3">
      <c r="U41" s="75" t="s">
        <v>28</v>
      </c>
      <c r="V41" s="76"/>
    </row>
    <row r="42" spans="1:22" ht="14.4" customHeight="1" thickBot="1" x14ac:dyDescent="0.35">
      <c r="F42" s="63" t="s">
        <v>29</v>
      </c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U42" s="77"/>
      <c r="V42" s="78"/>
    </row>
    <row r="43" spans="1:22" ht="14.4" customHeight="1" x14ac:dyDescent="0.3">
      <c r="F43" s="63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22" ht="14.4" customHeight="1" x14ac:dyDescent="0.3">
      <c r="F44" s="63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  <row r="45" spans="1:22" x14ac:dyDescent="0.3">
      <c r="A45" s="61" t="s">
        <v>30</v>
      </c>
      <c r="B45" s="61"/>
      <c r="C45" s="61"/>
      <c r="D45" s="61"/>
      <c r="E45" s="61"/>
      <c r="F45" s="61"/>
      <c r="G45" s="61"/>
      <c r="H45" s="61"/>
      <c r="I45" s="61"/>
      <c r="J45" s="61"/>
      <c r="K45" s="14"/>
      <c r="L45" s="15"/>
      <c r="M45" s="61" t="s">
        <v>31</v>
      </c>
      <c r="N45" s="61"/>
      <c r="O45" s="61"/>
      <c r="P45" s="61"/>
      <c r="Q45" s="61"/>
      <c r="R45" s="61"/>
      <c r="S45" s="61"/>
      <c r="T45" s="61"/>
      <c r="U45" s="61"/>
      <c r="V45" s="61"/>
    </row>
    <row r="46" spans="1:22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14"/>
      <c r="L46" s="15"/>
      <c r="M46" s="61"/>
      <c r="N46" s="61"/>
      <c r="O46" s="61"/>
      <c r="P46" s="61"/>
      <c r="Q46" s="61"/>
      <c r="R46" s="61"/>
      <c r="S46" s="61"/>
      <c r="T46" s="61"/>
      <c r="U46" s="61"/>
      <c r="V46" s="61"/>
    </row>
    <row r="47" spans="1:22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14"/>
      <c r="L47" s="15"/>
      <c r="M47" s="61"/>
      <c r="N47" s="61"/>
      <c r="O47" s="61"/>
      <c r="P47" s="61"/>
      <c r="Q47" s="61"/>
      <c r="R47" s="61"/>
      <c r="S47" s="61"/>
      <c r="T47" s="61"/>
      <c r="U47" s="61"/>
      <c r="V47" s="61"/>
    </row>
    <row r="48" spans="1:22" x14ac:dyDescent="0.3">
      <c r="B48" s="62" t="s">
        <v>32</v>
      </c>
      <c r="C48" s="62"/>
      <c r="D48" s="62"/>
      <c r="E48" s="62"/>
      <c r="F48" s="62"/>
      <c r="G48" s="62" t="s">
        <v>33</v>
      </c>
      <c r="H48" s="62"/>
      <c r="I48" s="16" t="s">
        <v>25</v>
      </c>
      <c r="J48" s="13" t="s">
        <v>34</v>
      </c>
      <c r="K48" s="14"/>
      <c r="L48" s="15"/>
      <c r="M48" s="33" t="s">
        <v>32</v>
      </c>
      <c r="N48" s="33"/>
      <c r="O48" s="33"/>
      <c r="P48" s="33"/>
      <c r="Q48" s="33"/>
      <c r="R48" s="13"/>
      <c r="S48" s="62" t="s">
        <v>35</v>
      </c>
      <c r="T48" s="62"/>
      <c r="U48" s="16" t="s">
        <v>25</v>
      </c>
      <c r="V48" s="13" t="s">
        <v>36</v>
      </c>
    </row>
    <row r="49" spans="1:22" x14ac:dyDescent="0.3">
      <c r="I49" s="18"/>
      <c r="K49" s="14"/>
      <c r="L49" s="15"/>
    </row>
    <row r="50" spans="1:22" x14ac:dyDescent="0.3">
      <c r="A50" s="3">
        <v>5000</v>
      </c>
      <c r="B50" s="19"/>
      <c r="C50" s="19"/>
      <c r="D50" s="19"/>
      <c r="E50" s="19"/>
      <c r="F50" s="20"/>
      <c r="H50">
        <f t="shared" ref="H50:H59" si="7">SUM(B50:G50)</f>
        <v>0</v>
      </c>
      <c r="I50" s="31">
        <f t="shared" ref="I50:I59" si="8">A50*H50</f>
        <v>0</v>
      </c>
      <c r="J50">
        <f t="shared" ref="J50:J59" si="9">H50-U14</f>
        <v>0</v>
      </c>
      <c r="K50" s="14"/>
      <c r="L50" s="15"/>
      <c r="M50" s="17">
        <v>5000</v>
      </c>
      <c r="N50" s="19"/>
      <c r="O50" s="19"/>
      <c r="P50" s="19"/>
      <c r="Q50" s="19"/>
      <c r="R50" s="20"/>
      <c r="T50" s="3">
        <f t="shared" ref="T50:T59" si="10">SUM(N50:S50)</f>
        <v>0</v>
      </c>
      <c r="U50" s="1">
        <f t="shared" ref="U50:U59" si="11">M50*T50</f>
        <v>0</v>
      </c>
      <c r="V50">
        <f t="shared" ref="V50:V59" si="12">T50-U14</f>
        <v>0</v>
      </c>
    </row>
    <row r="51" spans="1:22" x14ac:dyDescent="0.3">
      <c r="A51" s="3">
        <v>1000</v>
      </c>
      <c r="B51" s="19"/>
      <c r="C51" s="19"/>
      <c r="D51" s="19"/>
      <c r="E51" s="19"/>
      <c r="F51" s="20"/>
      <c r="H51">
        <f t="shared" si="7"/>
        <v>0</v>
      </c>
      <c r="I51" s="31">
        <f t="shared" si="8"/>
        <v>0</v>
      </c>
      <c r="J51">
        <f t="shared" si="9"/>
        <v>0</v>
      </c>
      <c r="K51" s="14"/>
      <c r="L51" s="15"/>
      <c r="M51" s="17">
        <v>1000</v>
      </c>
      <c r="N51" s="19"/>
      <c r="O51" s="19"/>
      <c r="P51" s="19"/>
      <c r="Q51" s="19"/>
      <c r="R51" s="20"/>
      <c r="T51" s="3">
        <f t="shared" si="10"/>
        <v>0</v>
      </c>
      <c r="U51" s="1">
        <f t="shared" si="11"/>
        <v>0</v>
      </c>
      <c r="V51">
        <f t="shared" si="12"/>
        <v>0</v>
      </c>
    </row>
    <row r="52" spans="1:22" x14ac:dyDescent="0.3">
      <c r="A52" s="3">
        <v>500</v>
      </c>
      <c r="B52" s="19"/>
      <c r="C52" s="19"/>
      <c r="D52" s="19"/>
      <c r="E52" s="19"/>
      <c r="F52" s="20"/>
      <c r="H52">
        <f t="shared" si="7"/>
        <v>0</v>
      </c>
      <c r="I52" s="31">
        <f t="shared" si="8"/>
        <v>0</v>
      </c>
      <c r="J52">
        <f t="shared" si="9"/>
        <v>0</v>
      </c>
      <c r="K52" s="14"/>
      <c r="L52" s="15"/>
      <c r="M52" s="17">
        <v>500</v>
      </c>
      <c r="N52" s="19"/>
      <c r="O52" s="19"/>
      <c r="P52" s="19"/>
      <c r="Q52" s="19"/>
      <c r="R52" s="20"/>
      <c r="T52" s="3">
        <f t="shared" si="10"/>
        <v>0</v>
      </c>
      <c r="U52" s="1">
        <f t="shared" si="11"/>
        <v>0</v>
      </c>
      <c r="V52">
        <f t="shared" si="12"/>
        <v>0</v>
      </c>
    </row>
    <row r="53" spans="1:22" x14ac:dyDescent="0.3">
      <c r="A53" s="3">
        <v>100</v>
      </c>
      <c r="B53" s="19"/>
      <c r="C53" s="19"/>
      <c r="D53" s="19"/>
      <c r="E53" s="19"/>
      <c r="F53" s="20"/>
      <c r="H53">
        <f t="shared" si="7"/>
        <v>0</v>
      </c>
      <c r="I53" s="31">
        <f t="shared" si="8"/>
        <v>0</v>
      </c>
      <c r="J53">
        <f t="shared" si="9"/>
        <v>0</v>
      </c>
      <c r="K53" s="14"/>
      <c r="L53" s="15"/>
      <c r="M53" s="17">
        <v>100</v>
      </c>
      <c r="N53" s="19"/>
      <c r="O53" s="19"/>
      <c r="P53" s="19"/>
      <c r="Q53" s="19"/>
      <c r="R53" s="20"/>
      <c r="T53" s="3">
        <f t="shared" si="10"/>
        <v>0</v>
      </c>
      <c r="U53" s="1">
        <f t="shared" si="11"/>
        <v>0</v>
      </c>
      <c r="V53">
        <f t="shared" si="12"/>
        <v>0</v>
      </c>
    </row>
    <row r="54" spans="1:22" x14ac:dyDescent="0.3">
      <c r="A54" s="3">
        <v>50</v>
      </c>
      <c r="B54" s="19"/>
      <c r="C54" s="19"/>
      <c r="D54" s="19"/>
      <c r="E54" s="19"/>
      <c r="F54" s="20"/>
      <c r="H54">
        <f t="shared" si="7"/>
        <v>0</v>
      </c>
      <c r="I54" s="31">
        <f t="shared" si="8"/>
        <v>0</v>
      </c>
      <c r="J54">
        <f t="shared" si="9"/>
        <v>0</v>
      </c>
      <c r="K54" s="14"/>
      <c r="L54" s="15"/>
      <c r="M54" s="17">
        <v>50</v>
      </c>
      <c r="N54" s="19"/>
      <c r="O54" s="19"/>
      <c r="P54" s="19"/>
      <c r="Q54" s="19"/>
      <c r="R54" s="20"/>
      <c r="T54" s="3">
        <f t="shared" si="10"/>
        <v>0</v>
      </c>
      <c r="U54" s="1">
        <f t="shared" si="11"/>
        <v>0</v>
      </c>
      <c r="V54">
        <f t="shared" si="12"/>
        <v>0</v>
      </c>
    </row>
    <row r="55" spans="1:22" x14ac:dyDescent="0.3">
      <c r="A55" s="3">
        <v>20</v>
      </c>
      <c r="B55" s="19"/>
      <c r="C55" s="19"/>
      <c r="D55" s="19"/>
      <c r="E55" s="19"/>
      <c r="F55" s="20"/>
      <c r="H55">
        <f t="shared" si="7"/>
        <v>0</v>
      </c>
      <c r="I55" s="31">
        <f t="shared" si="8"/>
        <v>0</v>
      </c>
      <c r="J55">
        <f t="shared" si="9"/>
        <v>0</v>
      </c>
      <c r="K55" s="14"/>
      <c r="L55" s="15"/>
      <c r="M55" s="17">
        <v>20</v>
      </c>
      <c r="N55" s="19"/>
      <c r="O55" s="19"/>
      <c r="P55" s="19"/>
      <c r="Q55" s="19"/>
      <c r="R55" s="20"/>
      <c r="T55" s="3">
        <f t="shared" si="10"/>
        <v>0</v>
      </c>
      <c r="U55" s="1">
        <f t="shared" si="11"/>
        <v>0</v>
      </c>
      <c r="V55">
        <f t="shared" si="12"/>
        <v>0</v>
      </c>
    </row>
    <row r="56" spans="1:22" x14ac:dyDescent="0.3">
      <c r="A56" s="3">
        <v>10</v>
      </c>
      <c r="B56" s="19"/>
      <c r="C56" s="19"/>
      <c r="D56" s="19"/>
      <c r="E56" s="19"/>
      <c r="F56" s="20"/>
      <c r="H56">
        <f t="shared" si="7"/>
        <v>0</v>
      </c>
      <c r="I56" s="31">
        <f t="shared" si="8"/>
        <v>0</v>
      </c>
      <c r="J56">
        <f t="shared" si="9"/>
        <v>0</v>
      </c>
      <c r="K56" s="14"/>
      <c r="L56" s="15"/>
      <c r="M56" s="17">
        <v>10</v>
      </c>
      <c r="N56" s="19"/>
      <c r="O56" s="19"/>
      <c r="P56" s="19"/>
      <c r="Q56" s="19"/>
      <c r="R56" s="20"/>
      <c r="T56" s="3">
        <f t="shared" si="10"/>
        <v>0</v>
      </c>
      <c r="U56" s="1">
        <f t="shared" si="11"/>
        <v>0</v>
      </c>
      <c r="V56">
        <f t="shared" si="12"/>
        <v>0</v>
      </c>
    </row>
    <row r="57" spans="1:22" x14ac:dyDescent="0.3">
      <c r="A57" s="3">
        <v>5</v>
      </c>
      <c r="B57" s="19"/>
      <c r="C57" s="19"/>
      <c r="D57" s="19"/>
      <c r="E57" s="19"/>
      <c r="F57" s="20"/>
      <c r="H57">
        <f t="shared" si="7"/>
        <v>0</v>
      </c>
      <c r="I57" s="31">
        <f t="shared" si="8"/>
        <v>0</v>
      </c>
      <c r="J57">
        <f t="shared" si="9"/>
        <v>0</v>
      </c>
      <c r="K57" s="14"/>
      <c r="L57" s="15"/>
      <c r="M57" s="17">
        <v>5</v>
      </c>
      <c r="N57" s="19"/>
      <c r="O57" s="19"/>
      <c r="P57" s="19"/>
      <c r="Q57" s="19"/>
      <c r="R57" s="20"/>
      <c r="T57" s="3">
        <f t="shared" si="10"/>
        <v>0</v>
      </c>
      <c r="U57" s="1">
        <f t="shared" si="11"/>
        <v>0</v>
      </c>
      <c r="V57">
        <f t="shared" si="12"/>
        <v>0</v>
      </c>
    </row>
    <row r="58" spans="1:22" x14ac:dyDescent="0.3">
      <c r="A58" s="3">
        <v>2</v>
      </c>
      <c r="B58" s="19"/>
      <c r="C58" s="19"/>
      <c r="D58" s="19"/>
      <c r="E58" s="19"/>
      <c r="F58" s="20"/>
      <c r="H58">
        <f t="shared" si="7"/>
        <v>0</v>
      </c>
      <c r="I58" s="31">
        <f t="shared" si="8"/>
        <v>0</v>
      </c>
      <c r="J58">
        <f t="shared" si="9"/>
        <v>0</v>
      </c>
      <c r="K58" s="14"/>
      <c r="L58" s="15"/>
      <c r="M58" s="17">
        <v>2</v>
      </c>
      <c r="N58" s="19"/>
      <c r="O58" s="19"/>
      <c r="P58" s="19"/>
      <c r="Q58" s="19"/>
      <c r="R58" s="20"/>
      <c r="T58" s="3">
        <f t="shared" si="10"/>
        <v>0</v>
      </c>
      <c r="U58" s="1">
        <f t="shared" si="11"/>
        <v>0</v>
      </c>
      <c r="V58">
        <f t="shared" si="12"/>
        <v>0</v>
      </c>
    </row>
    <row r="59" spans="1:22" x14ac:dyDescent="0.3">
      <c r="A59" s="3">
        <v>1</v>
      </c>
      <c r="B59" s="19"/>
      <c r="C59" s="19"/>
      <c r="D59" s="19"/>
      <c r="E59" s="19"/>
      <c r="F59" s="20"/>
      <c r="H59">
        <f t="shared" si="7"/>
        <v>0</v>
      </c>
      <c r="I59" s="31">
        <f t="shared" si="8"/>
        <v>0</v>
      </c>
      <c r="J59">
        <f t="shared" si="9"/>
        <v>0</v>
      </c>
      <c r="K59" s="14"/>
      <c r="L59" s="15"/>
      <c r="M59" s="17">
        <v>1</v>
      </c>
      <c r="N59" s="19"/>
      <c r="O59" s="19"/>
      <c r="P59" s="19"/>
      <c r="Q59" s="19"/>
      <c r="R59" s="20"/>
      <c r="T59" s="3">
        <f t="shared" si="10"/>
        <v>0</v>
      </c>
      <c r="U59" s="1">
        <f t="shared" si="11"/>
        <v>0</v>
      </c>
      <c r="V59">
        <f t="shared" si="12"/>
        <v>0</v>
      </c>
    </row>
    <row r="60" spans="1:22" x14ac:dyDescent="0.3">
      <c r="I60" s="18"/>
      <c r="K60" s="14"/>
      <c r="L60" s="15"/>
    </row>
    <row r="61" spans="1:22" ht="15" thickBot="1" x14ac:dyDescent="0.35">
      <c r="B61" s="54" t="s">
        <v>37</v>
      </c>
      <c r="C61" s="54"/>
      <c r="D61" s="54"/>
      <c r="E61" s="54"/>
      <c r="F61" s="54"/>
      <c r="G61" s="7"/>
      <c r="I61" s="26">
        <f>SUM(I50:I59)</f>
        <v>0</v>
      </c>
      <c r="J61" s="1"/>
      <c r="K61" s="27"/>
      <c r="L61" s="28"/>
      <c r="M61" s="1"/>
      <c r="N61" s="29" t="s">
        <v>37</v>
      </c>
      <c r="O61" s="29"/>
      <c r="P61" s="29"/>
      <c r="Q61" s="29"/>
      <c r="R61" s="29"/>
      <c r="S61" s="29"/>
      <c r="T61" s="1"/>
      <c r="U61" s="30">
        <f>SUM(U50:U59)</f>
        <v>0</v>
      </c>
    </row>
    <row r="62" spans="1:22" ht="15" thickTop="1" x14ac:dyDescent="0.3">
      <c r="B62" s="54" t="s">
        <v>38</v>
      </c>
      <c r="C62" s="54"/>
      <c r="D62" s="54"/>
      <c r="E62" s="54"/>
      <c r="F62" s="54"/>
      <c r="I62" s="1">
        <f>I61-B37</f>
        <v>0</v>
      </c>
      <c r="J62" s="1"/>
      <c r="K62" s="27"/>
      <c r="L62" s="28"/>
      <c r="M62" s="1"/>
      <c r="N62" s="29" t="s">
        <v>38</v>
      </c>
      <c r="O62" s="29"/>
      <c r="P62" s="29"/>
      <c r="Q62" s="29"/>
      <c r="R62" s="29"/>
      <c r="S62" s="1"/>
      <c r="T62" s="1"/>
      <c r="U62" s="1">
        <f>U61-B37</f>
        <v>0</v>
      </c>
    </row>
  </sheetData>
  <mergeCells count="69">
    <mergeCell ref="O37:P37"/>
    <mergeCell ref="O38:P38"/>
    <mergeCell ref="L35:M35"/>
    <mergeCell ref="L36:M36"/>
    <mergeCell ref="L38:M38"/>
    <mergeCell ref="L37:M37"/>
    <mergeCell ref="U12:V12"/>
    <mergeCell ref="M12:O12"/>
    <mergeCell ref="U35:V35"/>
    <mergeCell ref="O35:P35"/>
    <mergeCell ref="O36:P36"/>
    <mergeCell ref="A12:C12"/>
    <mergeCell ref="E12:G12"/>
    <mergeCell ref="B36:D36"/>
    <mergeCell ref="B37:D38"/>
    <mergeCell ref="J35:K35"/>
    <mergeCell ref="B33:C33"/>
    <mergeCell ref="J36:K36"/>
    <mergeCell ref="J37:K37"/>
    <mergeCell ref="H36:I36"/>
    <mergeCell ref="H37:I37"/>
    <mergeCell ref="H38:I38"/>
    <mergeCell ref="H35:I35"/>
    <mergeCell ref="B62:F62"/>
    <mergeCell ref="E33:H33"/>
    <mergeCell ref="M45:V47"/>
    <mergeCell ref="S48:T48"/>
    <mergeCell ref="B48:F48"/>
    <mergeCell ref="G48:H48"/>
    <mergeCell ref="F42:R44"/>
    <mergeCell ref="A45:J47"/>
    <mergeCell ref="A37:A38"/>
    <mergeCell ref="J38:K38"/>
    <mergeCell ref="B35:D35"/>
    <mergeCell ref="B61:F61"/>
    <mergeCell ref="U36:V36"/>
    <mergeCell ref="U37:V37"/>
    <mergeCell ref="U38:V38"/>
    <mergeCell ref="U41:V42"/>
    <mergeCell ref="G1:P1"/>
    <mergeCell ref="A4:G4"/>
    <mergeCell ref="J32:R32"/>
    <mergeCell ref="A32:C32"/>
    <mergeCell ref="I4:K4"/>
    <mergeCell ref="I7:K7"/>
    <mergeCell ref="I12:K12"/>
    <mergeCell ref="A7:G7"/>
    <mergeCell ref="A3:G3"/>
    <mergeCell ref="I3:K3"/>
    <mergeCell ref="N4:Q4"/>
    <mergeCell ref="A5:G5"/>
    <mergeCell ref="I5:K5"/>
    <mergeCell ref="A8:G8"/>
    <mergeCell ref="A9:G9"/>
    <mergeCell ref="I8:J8"/>
    <mergeCell ref="S4:U4"/>
    <mergeCell ref="S5:U5"/>
    <mergeCell ref="N5:Q5"/>
    <mergeCell ref="I9:J9"/>
    <mergeCell ref="L8:M8"/>
    <mergeCell ref="L9:M9"/>
    <mergeCell ref="R8:S8"/>
    <mergeCell ref="R9:S9"/>
    <mergeCell ref="O8:P8"/>
    <mergeCell ref="O9:P9"/>
    <mergeCell ref="N6:Q6"/>
    <mergeCell ref="S6:U6"/>
    <mergeCell ref="U8:V8"/>
    <mergeCell ref="U9:V9"/>
  </mergeCells>
  <conditionalFormatting sqref="C29:R29">
    <cfRule type="cellIs" dxfId="15" priority="16" operator="equal">
      <formula>"YES"</formula>
    </cfRule>
    <cfRule type="cellIs" dxfId="14" priority="17" operator="equal">
      <formula>"PAID"</formula>
    </cfRule>
    <cfRule type="cellIs" dxfId="13" priority="26" operator="equal">
      <formula>"UNPAID"</formula>
    </cfRule>
  </conditionalFormatting>
  <conditionalFormatting sqref="I62">
    <cfRule type="cellIs" dxfId="12" priority="14" operator="greaterThan">
      <formula>0</formula>
    </cfRule>
    <cfRule type="cellIs" dxfId="11" priority="15" operator="lessThan">
      <formula>0</formula>
    </cfRule>
  </conditionalFormatting>
  <conditionalFormatting sqref="I4:K6">
    <cfRule type="cellIs" dxfId="10" priority="10" operator="equal">
      <formula>"NO"</formula>
    </cfRule>
    <cfRule type="cellIs" dxfId="9" priority="11" operator="equal">
      <formula>"YES"</formula>
    </cfRule>
  </conditionalFormatting>
  <conditionalFormatting sqref="U37 J37 O37 Q37:R37 L37 F37 H37">
    <cfRule type="expression" dxfId="8" priority="5">
      <formula>$I$4="NO"</formula>
    </cfRule>
  </conditionalFormatting>
  <conditionalFormatting sqref="H37">
    <cfRule type="expression" dxfId="7" priority="6">
      <formula>I4="NO"</formula>
    </cfRule>
  </conditionalFormatting>
  <conditionalFormatting sqref="U38 H38 J38 O38 L38">
    <cfRule type="expression" dxfId="6" priority="4">
      <formula>#REF!&lt;=0</formula>
    </cfRule>
  </conditionalFormatting>
  <conditionalFormatting sqref="U62">
    <cfRule type="cellIs" dxfId="5" priority="12" operator="greaterThan">
      <formula>0</formula>
    </cfRule>
    <cfRule type="cellIs" dxfId="4" priority="13" operator="lessThan">
      <formula>0</formula>
    </cfRule>
  </conditionalFormatting>
  <conditionalFormatting sqref="U37">
    <cfRule type="expression" dxfId="3" priority="30">
      <formula>S4="NO"</formula>
    </cfRule>
  </conditionalFormatting>
  <conditionalFormatting sqref="L37 J37 Q37">
    <cfRule type="expression" dxfId="2" priority="34">
      <formula>K4="NO"</formula>
    </cfRule>
  </conditionalFormatting>
  <conditionalFormatting sqref="O37">
    <cfRule type="expression" dxfId="1" priority="40">
      <formula>O4="NO"</formula>
    </cfRule>
  </conditionalFormatting>
  <conditionalFormatting sqref="R37">
    <cfRule type="expression" dxfId="0" priority="41">
      <formula>#REF!="NO"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pyPreviousT34">
                <anchor moveWithCells="1" sizeWithCells="1">
                  <from>
                    <xdr:col>18</xdr:col>
                    <xdr:colOff>106680</xdr:colOff>
                    <xdr:row>0</xdr:row>
                    <xdr:rowOff>213360</xdr:rowOff>
                  </from>
                  <to>
                    <xdr:col>20</xdr:col>
                    <xdr:colOff>220980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Dineth Pansilu</cp:lastModifiedBy>
  <cp:revision/>
  <dcterms:created xsi:type="dcterms:W3CDTF">2006-09-16T00:00:00Z</dcterms:created>
  <dcterms:modified xsi:type="dcterms:W3CDTF">2025-08-21T03:53:22Z</dcterms:modified>
  <cp:category/>
  <cp:contentStatus/>
</cp:coreProperties>
</file>