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RN\CASHIER SALE\2025\7.JULY\"/>
    </mc:Choice>
  </mc:AlternateContent>
  <bookViews>
    <workbookView xWindow="0" yWindow="0" windowWidth="20460" windowHeight="768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 s="1"/>
  <c r="B32" i="1" l="1"/>
  <c r="B31" i="1"/>
  <c r="P34" i="1" s="1"/>
  <c r="T24" i="1"/>
  <c r="J34" i="1" l="1"/>
  <c r="R34" i="1" l="1"/>
  <c r="I5" i="1" a="1"/>
  <c r="I5" i="1" l="1"/>
  <c r="J32" i="1" s="1"/>
  <c r="D25" i="1"/>
  <c r="E25" i="1"/>
  <c r="F25" i="1"/>
  <c r="H25" i="1"/>
  <c r="I25" i="1"/>
  <c r="J25" i="1"/>
  <c r="L25" i="1"/>
  <c r="M25" i="1"/>
  <c r="N25" i="1"/>
  <c r="P25" i="1"/>
  <c r="Q25" i="1"/>
  <c r="R32" i="1" l="1"/>
  <c r="N32" i="1"/>
  <c r="T32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46" i="1"/>
  <c r="I46" i="1" s="1"/>
  <c r="T55" i="1"/>
  <c r="U55" i="1" s="1"/>
  <c r="T54" i="1"/>
  <c r="U54" i="1" s="1"/>
  <c r="T53" i="1"/>
  <c r="U53" i="1" s="1"/>
  <c r="T52" i="1"/>
  <c r="U52" i="1" s="1"/>
  <c r="T51" i="1"/>
  <c r="U51" i="1" s="1"/>
  <c r="T50" i="1"/>
  <c r="U50" i="1" s="1"/>
  <c r="T49" i="1"/>
  <c r="U49" i="1" s="1"/>
  <c r="T48" i="1"/>
  <c r="U48" i="1" s="1"/>
  <c r="T47" i="1"/>
  <c r="U47" i="1" s="1"/>
  <c r="T46" i="1"/>
  <c r="U46" i="1" s="1"/>
  <c r="U11" i="1"/>
  <c r="U12" i="1"/>
  <c r="U13" i="1"/>
  <c r="U14" i="1"/>
  <c r="U15" i="1"/>
  <c r="U16" i="1"/>
  <c r="U17" i="1"/>
  <c r="U18" i="1"/>
  <c r="U19" i="1"/>
  <c r="U10" i="1"/>
  <c r="T22" i="1"/>
  <c r="G10" i="1"/>
  <c r="G11" i="1"/>
  <c r="G12" i="1"/>
  <c r="G13" i="1"/>
  <c r="G14" i="1"/>
  <c r="G15" i="1"/>
  <c r="G16" i="1"/>
  <c r="G17" i="1"/>
  <c r="G18" i="1"/>
  <c r="G19" i="1"/>
  <c r="J33" i="1" l="1"/>
  <c r="J55" i="1"/>
  <c r="J46" i="1"/>
  <c r="J54" i="1"/>
  <c r="J53" i="1"/>
  <c r="J52" i="1"/>
  <c r="J50" i="1"/>
  <c r="V53" i="1"/>
  <c r="J51" i="1"/>
  <c r="V52" i="1"/>
  <c r="V51" i="1"/>
  <c r="V46" i="1"/>
  <c r="J48" i="1"/>
  <c r="V49" i="1"/>
  <c r="V47" i="1"/>
  <c r="J49" i="1"/>
  <c r="J47" i="1"/>
  <c r="V50" i="1"/>
  <c r="V48" i="1"/>
  <c r="V55" i="1"/>
  <c r="V54" i="1"/>
  <c r="I57" i="1"/>
  <c r="U57" i="1"/>
  <c r="R19" i="1"/>
  <c r="R18" i="1"/>
  <c r="R17" i="1"/>
  <c r="R16" i="1"/>
  <c r="R15" i="1"/>
  <c r="R14" i="1"/>
  <c r="R13" i="1"/>
  <c r="R12" i="1"/>
  <c r="R11" i="1"/>
  <c r="R10" i="1"/>
  <c r="N33" i="1" l="1"/>
  <c r="T33" i="1" s="1"/>
  <c r="R20" i="1"/>
  <c r="R24" i="1" s="1"/>
  <c r="R25" i="1" s="1"/>
  <c r="K12" i="1" l="1"/>
  <c r="C11" i="1" l="1"/>
  <c r="C12" i="1"/>
  <c r="C13" i="1"/>
  <c r="C14" i="1"/>
  <c r="C15" i="1"/>
  <c r="C16" i="1"/>
  <c r="C17" i="1"/>
  <c r="C18" i="1"/>
  <c r="C19" i="1"/>
  <c r="C10" i="1"/>
  <c r="C20" i="1" l="1"/>
  <c r="C24" i="1" s="1"/>
  <c r="K10" i="1"/>
  <c r="O10" i="1"/>
  <c r="K11" i="1"/>
  <c r="O11" i="1"/>
  <c r="O12" i="1"/>
  <c r="K13" i="1"/>
  <c r="O13" i="1"/>
  <c r="K14" i="1"/>
  <c r="O14" i="1"/>
  <c r="K15" i="1"/>
  <c r="O15" i="1"/>
  <c r="K16" i="1"/>
  <c r="O16" i="1"/>
  <c r="K17" i="1"/>
  <c r="O17" i="1"/>
  <c r="K18" i="1"/>
  <c r="O18" i="1"/>
  <c r="K19" i="1"/>
  <c r="O19" i="1"/>
  <c r="C25" i="1" l="1"/>
  <c r="K20" i="1"/>
  <c r="K24" i="1" s="1"/>
  <c r="K25" i="1" s="1"/>
  <c r="O20" i="1"/>
  <c r="O24" i="1" s="1"/>
  <c r="O25" i="1" s="1"/>
  <c r="G20" i="1" l="1"/>
  <c r="G24" i="1" s="1"/>
  <c r="G25" i="1" l="1"/>
  <c r="S34" i="1"/>
  <c r="L34" i="1" s="1"/>
  <c r="T20" i="1"/>
  <c r="B33" i="1" l="1"/>
  <c r="I58" i="1" s="1"/>
  <c r="U58" i="1" l="1"/>
  <c r="T3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<sst xmlns="http://schemas.openxmlformats.org/spreadsheetml/2006/main" count="55" uniqueCount="43">
  <si>
    <t>ONLY DATA ENTER BROWN CELLS ONLY</t>
  </si>
  <si>
    <r>
      <t>ENTER TODAY '</t>
    </r>
    <r>
      <rPr>
        <b/>
        <sz val="16"/>
        <color theme="1"/>
        <rFont val="Calibri"/>
        <family val="2"/>
        <scheme val="minor"/>
      </rPr>
      <t>BANKED</t>
    </r>
    <r>
      <rPr>
        <sz val="16"/>
        <color theme="1"/>
        <rFont val="Calibri"/>
        <family val="2"/>
        <scheme val="minor"/>
      </rPr>
      <t xml:space="preserve">' (YES/NO) </t>
    </r>
  </si>
  <si>
    <t>=</t>
  </si>
  <si>
    <r>
      <t xml:space="preserve">PREVIOUS DAY </t>
    </r>
    <r>
      <rPr>
        <b/>
        <sz val="16"/>
        <color theme="1"/>
        <rFont val="Calibri"/>
        <family val="2"/>
        <scheme val="minor"/>
      </rPr>
      <t>'DAY END TOTAL'</t>
    </r>
  </si>
  <si>
    <t>FLOAT</t>
  </si>
  <si>
    <t>KEERTHANA</t>
  </si>
  <si>
    <t>SAJANI</t>
  </si>
  <si>
    <t>DASUN (SONURAD)</t>
  </si>
  <si>
    <t>THILINI (GEETHAS)</t>
  </si>
  <si>
    <t>TOTAL PIECES COUNT</t>
  </si>
  <si>
    <t xml:space="preserve"> </t>
  </si>
  <si>
    <t>PHYSICAL CASH</t>
  </si>
  <si>
    <t>SYSTEM CASH</t>
  </si>
  <si>
    <t xml:space="preserve">                                                                                                                                                                              </t>
  </si>
  <si>
    <t>EXESS/SHORT</t>
  </si>
  <si>
    <t>SHORT PAID OR NOT</t>
  </si>
  <si>
    <t>CASH BANK DEPOSITE</t>
  </si>
  <si>
    <t>SAFE BOOK</t>
  </si>
  <si>
    <t>COMMERCIAL</t>
  </si>
  <si>
    <r>
      <t>CHECK THIS USING '</t>
    </r>
    <r>
      <rPr>
        <b/>
        <sz val="11"/>
        <color theme="1"/>
        <rFont val="Calibri"/>
        <family val="2"/>
        <scheme val="minor"/>
      </rPr>
      <t>DAY END SUMMARY</t>
    </r>
    <r>
      <rPr>
        <sz val="11"/>
        <color theme="1"/>
        <rFont val="Calibri"/>
        <family val="2"/>
        <scheme val="minor"/>
      </rPr>
      <t>'</t>
    </r>
  </si>
  <si>
    <t>SM CC</t>
  </si>
  <si>
    <t>OPENING BALANCE</t>
  </si>
  <si>
    <t>CASH IN</t>
  </si>
  <si>
    <t>CASH OUT</t>
  </si>
  <si>
    <t>FLOT</t>
  </si>
  <si>
    <t>EXCESS</t>
  </si>
  <si>
    <t>TOTAL</t>
  </si>
  <si>
    <t>BANKING</t>
  </si>
  <si>
    <t>DAY END</t>
  </si>
  <si>
    <t>ENTER THIS TO 'NEXT DAY'</t>
  </si>
  <si>
    <t>CASH BANK CALCULATOR</t>
  </si>
  <si>
    <t>CALCULATOR 1</t>
  </si>
  <si>
    <t>CALCULATOR 2</t>
  </si>
  <si>
    <t>PIECES COUNTING</t>
  </si>
  <si>
    <t>FULL PIECES COUNT</t>
  </si>
  <si>
    <t>DIF. PIECES</t>
  </si>
  <si>
    <t>FULL PIECE COUNT</t>
  </si>
  <si>
    <t>DIF.PIECES</t>
  </si>
  <si>
    <t>FULL TOTAL</t>
  </si>
  <si>
    <t>DEFFERENCE BETWEEN 'CASH BANK DEPOSITE'</t>
  </si>
  <si>
    <t>DATE</t>
  </si>
  <si>
    <t>NEW MEMBER</t>
  </si>
  <si>
    <t>FLOT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</si>
</sst>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2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7"/>
      <color rgb="FF000000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B0F0"/>
      </left>
      <right/>
      <top/>
      <bottom/>
      <diagonal/>
    </border>
    <border>
      <left/>
      <right/>
      <top/>
      <bottom style="double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77111117893"/>
      </left>
      <right/>
      <top style="medium">
        <color theme="3" tint="-0.249977111117893"/>
      </top>
      <bottom/>
      <diagonal/>
    </border>
    <border>
      <left/>
      <right style="medium">
        <color theme="3" tint="-0.249977111117893"/>
      </right>
      <top style="medium">
        <color theme="3" tint="-0.249977111117893"/>
      </top>
      <bottom/>
      <diagonal/>
    </border>
    <border>
      <left style="medium">
        <color theme="3" tint="-0.249977111117893"/>
      </left>
      <right/>
      <top/>
      <bottom style="medium">
        <color theme="3" tint="-0.249977111117893"/>
      </bottom>
      <diagonal/>
    </border>
    <border>
      <left/>
      <right style="medium">
        <color theme="3" tint="-0.249977111117893"/>
      </right>
      <top/>
      <bottom style="medium">
        <color theme="3" tint="-0.249977111117893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84">
    <xf numFmtId="0" fontId="0" fillId="0" borderId="0" xfId="0"/>
    <xf numFmtId="4" fontId="0" fillId="0" borderId="0" xfId="0" applyNumberFormat="1"/>
    <xf numFmtId="0" fontId="0" fillId="3" borderId="1" xfId="0" applyFill="1" applyBorder="1"/>
    <xf numFmtId="0" fontId="0" fillId="0" borderId="0" xfId="0" applyAlignment="1">
      <alignment horizontal="center"/>
    </xf>
    <xf numFmtId="0" fontId="4" fillId="0" borderId="1" xfId="0" applyFont="1" applyBorder="1"/>
    <xf numFmtId="0" fontId="0" fillId="3" borderId="1" xfId="0" quotePrefix="1" applyFill="1" applyBorder="1"/>
    <xf numFmtId="0" fontId="0" fillId="3" borderId="1" xfId="1" applyNumberFormat="1" applyFont="1" applyFill="1" applyBorder="1"/>
    <xf numFmtId="0" fontId="4" fillId="0" borderId="0" xfId="0" applyFont="1"/>
    <xf numFmtId="43" fontId="0" fillId="0" borderId="0" xfId="1" applyFont="1"/>
    <xf numFmtId="0" fontId="0" fillId="0" borderId="4" xfId="0" applyBorder="1"/>
    <xf numFmtId="0" fontId="3" fillId="0" borderId="0" xfId="0" applyFont="1"/>
    <xf numFmtId="0" fontId="2" fillId="0" borderId="0" xfId="0" applyFont="1"/>
    <xf numFmtId="0" fontId="0" fillId="6" borderId="1" xfId="0" applyFill="1" applyBorder="1"/>
    <xf numFmtId="0" fontId="9" fillId="0" borderId="0" xfId="0" applyFont="1"/>
    <xf numFmtId="0" fontId="0" fillId="4" borderId="9" xfId="0" applyFill="1" applyBorder="1"/>
    <xf numFmtId="0" fontId="0" fillId="4" borderId="0" xfId="0" applyFill="1"/>
    <xf numFmtId="0" fontId="9" fillId="0" borderId="0" xfId="0" applyFont="1" applyAlignment="1">
      <alignment horizontal="right"/>
    </xf>
    <xf numFmtId="0" fontId="0" fillId="0" borderId="8" xfId="0" applyBorder="1" applyAlignment="1">
      <alignment horizontal="left"/>
    </xf>
    <xf numFmtId="0" fontId="0" fillId="0" borderId="0" xfId="0" applyAlignment="1">
      <alignment horizontal="right"/>
    </xf>
    <xf numFmtId="0" fontId="0" fillId="8" borderId="1" xfId="0" applyFill="1" applyBorder="1"/>
    <xf numFmtId="0" fontId="0" fillId="8" borderId="2" xfId="0" applyFill="1" applyBorder="1"/>
    <xf numFmtId="0" fontId="10" fillId="0" borderId="0" xfId="0" applyFont="1" applyAlignment="1">
      <alignment horizontal="center"/>
    </xf>
    <xf numFmtId="0" fontId="0" fillId="0" borderId="0" xfId="0" applyFill="1" applyAlignment="1"/>
    <xf numFmtId="0" fontId="3" fillId="0" borderId="0" xfId="0" applyFont="1" applyBorder="1" applyAlignment="1"/>
    <xf numFmtId="4" fontId="0" fillId="0" borderId="0" xfId="0" applyNumberFormat="1" applyFill="1"/>
    <xf numFmtId="0" fontId="0" fillId="0" borderId="0" xfId="0" applyFill="1" applyBorder="1" applyAlignment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4" fontId="0" fillId="3" borderId="5" xfId="0" applyNumberFormat="1" applyFill="1" applyBorder="1"/>
    <xf numFmtId="4" fontId="1" fillId="3" borderId="5" xfId="0" applyNumberFormat="1" applyFont="1" applyFill="1" applyBorder="1"/>
    <xf numFmtId="4" fontId="0" fillId="7" borderId="11" xfId="0" applyNumberFormat="1" applyFill="1" applyBorder="1" applyAlignment="1">
      <alignment horizontal="right"/>
    </xf>
    <xf numFmtId="4" fontId="0" fillId="4" borderId="9" xfId="0" applyNumberFormat="1" applyFill="1" applyBorder="1"/>
    <xf numFmtId="4" fontId="0" fillId="4" borderId="0" xfId="0" applyNumberFormat="1" applyFill="1"/>
    <xf numFmtId="4" fontId="4" fillId="0" borderId="0" xfId="0" applyNumberFormat="1" applyFont="1" applyAlignment="1">
      <alignment horizontal="center"/>
    </xf>
    <xf numFmtId="4" fontId="0" fillId="7" borderId="11" xfId="0" applyNumberFormat="1" applyFill="1" applyBorder="1"/>
    <xf numFmtId="4" fontId="0" fillId="0" borderId="0" xfId="0" applyNumberFormat="1" applyAlignment="1">
      <alignment horizontal="right"/>
    </xf>
    <xf numFmtId="0" fontId="0" fillId="0" borderId="1" xfId="0" applyNumberFormat="1" applyBorder="1" applyAlignment="1">
      <alignment horizontal="center" vertical="center"/>
    </xf>
    <xf numFmtId="0" fontId="0" fillId="0" borderId="6" xfId="0" applyNumberFormat="1" applyFont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4" fillId="0" borderId="0" xfId="0" applyFont="1" applyFill="1" applyBorder="1" applyAlignment="1">
      <alignment vertical="center"/>
    </xf>
    <xf numFmtId="0" fontId="11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5" xfId="0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4" fontId="3" fillId="8" borderId="5" xfId="0" applyNumberFormat="1" applyFont="1" applyFill="1" applyBorder="1" applyAlignment="1">
      <alignment horizontal="center"/>
    </xf>
    <xf numFmtId="2" fontId="3" fillId="8" borderId="5" xfId="0" applyNumberFormat="1" applyFont="1" applyFill="1" applyBorder="1" applyAlignment="1">
      <alignment horizontal="center"/>
    </xf>
    <xf numFmtId="4" fontId="3" fillId="8" borderId="15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3" xfId="0" applyNumberFormat="1" applyFill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2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10" borderId="2" xfId="0" applyNumberFormat="1" applyFont="1" applyFill="1" applyBorder="1" applyAlignment="1">
      <alignment horizontal="center" vertical="center"/>
    </xf>
    <xf numFmtId="0" fontId="0" fillId="10" borderId="3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2" xfId="0" applyNumberFormat="1" applyFon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 wrapText="1"/>
    </xf>
    <xf numFmtId="0" fontId="13" fillId="9" borderId="17" xfId="0" applyFont="1" applyFill="1" applyBorder="1" applyAlignment="1">
      <alignment horizontal="center" vertical="center" wrapText="1"/>
    </xf>
    <xf numFmtId="0" fontId="13" fillId="9" borderId="18" xfId="0" applyFont="1" applyFill="1" applyBorder="1" applyAlignment="1">
      <alignment horizontal="center" vertical="center" wrapText="1"/>
    </xf>
    <xf numFmtId="0" fontId="13" fillId="9" borderId="19" xfId="0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 tint="-4.9989318521683403E-2"/>
      </font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56031</xdr:colOff>
      <xdr:row>29</xdr:row>
      <xdr:rowOff>56029</xdr:rowOff>
    </xdr:from>
    <xdr:to>
      <xdr:col>6</xdr:col>
      <xdr:colOff>212912</xdr:colOff>
      <xdr:row>30</xdr:row>
      <xdr:rowOff>145676</xdr:rowOff>
    </xdr:to>
    <xdr:cxnSp macro="">
      <xdr:nvCxnSpPr>
        <xdr:cNvPr id="5" name="Curved Connector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CxnSpPr/>
      </xdr:nvCxnSpPr>
      <xdr:spPr>
        <a:xfrm rot="10800000" flipV="1">
          <a:off x="3160060" y="6331323"/>
          <a:ext cx="1367117" cy="280147"/>
        </a:xfrm>
        <a:prstGeom prst="curvedConnector3">
          <a:avLst>
            <a:gd name="adj1" fmla="val -655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34</xdr:row>
      <xdr:rowOff>47625</xdr:rowOff>
    </xdr:from>
    <xdr:to>
      <xdr:col>20</xdr:col>
      <xdr:colOff>771525</xdr:colOff>
      <xdr:row>35</xdr:row>
      <xdr:rowOff>133350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xmlns="" id="{99CEA145-718F-54A2-C10E-9D048FB5E9C4}"/>
            </a:ext>
            <a:ext uri="{147F2762-F138-4A5C-976F-8EAC2B608ADB}">
              <a16:predDERef xmlns:a16="http://schemas.microsoft.com/office/drawing/2014/main" xmlns="" pred="{00000000-0008-0000-0000-000005000000}"/>
            </a:ext>
          </a:extLst>
        </xdr:cNvPr>
        <xdr:cNvSpPr/>
      </xdr:nvSpPr>
      <xdr:spPr>
        <a:xfrm rot="5369030">
          <a:off x="13887450" y="6715125"/>
          <a:ext cx="276225" cy="1571625"/>
        </a:xfrm>
        <a:prstGeom prst="rightBrace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9525</xdr:rowOff>
        </xdr:from>
        <xdr:to>
          <xdr:col>7</xdr:col>
          <xdr:colOff>628650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700" b="0" i="0" u="none" strike="noStrike" baseline="0">
                  <a:solidFill>
                    <a:srgbClr val="000000"/>
                  </a:solidFill>
                  <a:latin typeface="Georgia"/>
                </a:rPr>
                <a:t>Click to 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8"/>
  <sheetViews>
    <sheetView tabSelected="1" topLeftCell="A17" zoomScale="85" zoomScaleNormal="85" workbookViewId="0">
      <selection activeCell="I33" sqref="I33"/>
    </sheetView>
  </sheetViews>
  <sheetFormatPr defaultRowHeight="15" x14ac:dyDescent="0.25"/>
  <cols>
    <col min="1" max="1" width="19.28515625" customWidth="1"/>
    <col min="7" max="7" width="11.5703125" bestFit="1" customWidth="1"/>
    <col min="8" max="8" width="9.140625" customWidth="1"/>
    <col min="9" max="9" width="14.140625" customWidth="1"/>
    <col min="10" max="10" width="8.7109375" customWidth="1"/>
    <col min="11" max="11" width="10.5703125" bestFit="1" customWidth="1"/>
    <col min="12" max="12" width="8.85546875" customWidth="1"/>
    <col min="16" max="16" width="12" customWidth="1"/>
    <col min="17" max="17" width="9.140625" customWidth="1"/>
    <col min="18" max="18" width="11.7109375" customWidth="1"/>
    <col min="19" max="19" width="10.140625" customWidth="1"/>
    <col min="20" max="20" width="12.140625" customWidth="1"/>
    <col min="21" max="21" width="11.7109375" bestFit="1" customWidth="1"/>
  </cols>
  <sheetData>
    <row r="1" spans="1:22" ht="21" customHeight="1" x14ac:dyDescent="0.35">
      <c r="E1" s="10"/>
      <c r="F1" s="10"/>
      <c r="G1" s="50" t="s">
        <v>0</v>
      </c>
      <c r="H1" s="50"/>
      <c r="I1" s="50"/>
      <c r="J1" s="50"/>
      <c r="K1" s="50"/>
      <c r="L1" s="50"/>
      <c r="M1" s="50"/>
      <c r="N1" s="50"/>
      <c r="O1" s="50"/>
      <c r="P1" s="50"/>
    </row>
    <row r="2" spans="1:22" ht="21" customHeight="1" x14ac:dyDescent="0.25">
      <c r="L2" s="21"/>
      <c r="M2" s="21"/>
      <c r="N2" s="21"/>
      <c r="O2" s="21"/>
      <c r="P2" s="21"/>
    </row>
    <row r="3" spans="1:22" ht="21" customHeight="1" x14ac:dyDescent="0.35">
      <c r="A3" s="43" t="s">
        <v>40</v>
      </c>
      <c r="B3" s="44"/>
      <c r="C3" s="44"/>
      <c r="D3" s="44"/>
      <c r="E3" s="44"/>
      <c r="F3" s="44"/>
      <c r="G3" s="44"/>
      <c r="H3" s="10" t="s">
        <v>2</v>
      </c>
      <c r="I3" s="45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Template</v>
      </c>
      <c r="J3" s="45"/>
      <c r="K3" s="45"/>
      <c r="L3" s="21"/>
      <c r="M3" s="21"/>
      <c r="N3" s="21"/>
      <c r="O3" s="21"/>
      <c r="P3" s="21"/>
    </row>
    <row r="4" spans="1:22" ht="21" customHeight="1" x14ac:dyDescent="0.35">
      <c r="A4" s="51" t="s">
        <v>1</v>
      </c>
      <c r="B4" s="51"/>
      <c r="C4" s="51"/>
      <c r="D4" s="51"/>
      <c r="E4" s="51"/>
      <c r="F4" s="51"/>
      <c r="G4" s="51"/>
      <c r="H4" s="23" t="s">
        <v>2</v>
      </c>
      <c r="I4" s="57" t="e">
        <f ca="1">IF(OR(TEXT(DATEVALUE(SUBSTITUTE(I3,".","/")),"ddd")={"Sat","Sun"}), "NO", "YES")</f>
        <v>#VALUE!</v>
      </c>
      <c r="J4" s="57"/>
      <c r="K4" s="57"/>
      <c r="L4" s="21"/>
      <c r="M4" s="21"/>
      <c r="N4" s="21"/>
      <c r="O4" s="21"/>
      <c r="P4" s="21"/>
    </row>
    <row r="5" spans="1:22" ht="21" customHeight="1" x14ac:dyDescent="0.35">
      <c r="A5" s="51" t="s">
        <v>3</v>
      </c>
      <c r="B5" s="51"/>
      <c r="C5" s="51"/>
      <c r="D5" s="51"/>
      <c r="E5" s="51"/>
      <c r="F5" s="51"/>
      <c r="G5" s="51"/>
      <c r="H5" s="23" t="s">
        <v>2</v>
      </c>
      <c r="I5" s="56" t="e" cm="1">
        <f t="array" aca="1" ref="I5" ca="1">INDIRECT("'[" &amp; TEXT(DATEVALUE(SUBSTITUTE(I3,".","-"))-1,"yyyy.mm.dd") &amp; ".xlsx]Sheet1'!B1")</f>
        <v>#VALUE!</v>
      </c>
      <c r="J5" s="56"/>
      <c r="K5" s="56"/>
      <c r="L5" s="21"/>
      <c r="M5" s="21"/>
      <c r="N5" s="21"/>
      <c r="O5" s="21"/>
      <c r="P5" s="21"/>
    </row>
    <row r="6" spans="1:22" ht="21" customHeight="1" x14ac:dyDescent="0.35">
      <c r="A6" s="42" t="s">
        <v>4</v>
      </c>
      <c r="B6" s="42"/>
      <c r="C6" s="42"/>
      <c r="D6" s="42"/>
      <c r="E6" s="42"/>
      <c r="F6" s="42"/>
      <c r="G6" s="42"/>
      <c r="H6" s="10" t="s">
        <v>2</v>
      </c>
      <c r="I6" s="58">
        <v>30000</v>
      </c>
      <c r="J6" s="58"/>
      <c r="K6" s="58"/>
      <c r="L6" s="21"/>
      <c r="M6" s="21"/>
      <c r="N6" s="21"/>
      <c r="O6" s="21"/>
      <c r="P6" s="21"/>
    </row>
    <row r="7" spans="1:22" ht="21" customHeight="1" x14ac:dyDescent="0.25"/>
    <row r="8" spans="1:22" ht="15" customHeight="1" x14ac:dyDescent="0.25">
      <c r="A8" s="59" t="s">
        <v>5</v>
      </c>
      <c r="B8" s="59"/>
      <c r="C8" s="59"/>
      <c r="E8" s="59" t="s">
        <v>6</v>
      </c>
      <c r="F8" s="59"/>
      <c r="G8" s="59"/>
      <c r="I8" s="59" t="s">
        <v>7</v>
      </c>
      <c r="J8" s="59"/>
      <c r="K8" s="59"/>
      <c r="M8" s="59" t="s">
        <v>8</v>
      </c>
      <c r="N8" s="59"/>
      <c r="O8" s="59"/>
      <c r="P8" s="3"/>
      <c r="Q8" s="7" t="s">
        <v>41</v>
      </c>
      <c r="U8" s="59" t="s">
        <v>9</v>
      </c>
      <c r="V8" s="59"/>
    </row>
    <row r="10" spans="1:22" x14ac:dyDescent="0.25">
      <c r="A10">
        <v>5000</v>
      </c>
      <c r="B10" s="2"/>
      <c r="C10">
        <f>A10*B10</f>
        <v>0</v>
      </c>
      <c r="E10">
        <v>5000</v>
      </c>
      <c r="F10" s="2"/>
      <c r="G10">
        <f>E10*F10</f>
        <v>0</v>
      </c>
      <c r="I10">
        <v>5000</v>
      </c>
      <c r="J10" s="2"/>
      <c r="K10">
        <f>I10*J10</f>
        <v>0</v>
      </c>
      <c r="L10" t="s">
        <v>10</v>
      </c>
      <c r="M10">
        <v>5000</v>
      </c>
      <c r="N10" s="2"/>
      <c r="O10">
        <f>M10*N10</f>
        <v>0</v>
      </c>
      <c r="P10">
        <v>5000</v>
      </c>
      <c r="Q10" s="2"/>
      <c r="R10">
        <f>P10*Q10</f>
        <v>0</v>
      </c>
      <c r="T10" s="8"/>
      <c r="U10" s="12">
        <f>B10+F10+J10+N10+Q10</f>
        <v>0</v>
      </c>
    </row>
    <row r="11" spans="1:22" x14ac:dyDescent="0.25">
      <c r="A11">
        <v>1000</v>
      </c>
      <c r="B11" s="5"/>
      <c r="C11" s="26">
        <f t="shared" ref="C11:C19" si="0">A11*B11</f>
        <v>0</v>
      </c>
      <c r="E11">
        <v>1000</v>
      </c>
      <c r="F11" s="2"/>
      <c r="G11">
        <f t="shared" ref="G11:G19" si="1">E11*F11</f>
        <v>0</v>
      </c>
      <c r="I11">
        <v>1000</v>
      </c>
      <c r="J11" s="2"/>
      <c r="K11">
        <f t="shared" ref="K11:K19" si="2">I11*J11</f>
        <v>0</v>
      </c>
      <c r="M11">
        <v>1000</v>
      </c>
      <c r="N11" s="2"/>
      <c r="O11">
        <f t="shared" ref="O11:O19" si="3">M11*N11</f>
        <v>0</v>
      </c>
      <c r="P11">
        <v>1000</v>
      </c>
      <c r="Q11" s="2"/>
      <c r="R11">
        <f t="shared" ref="R11:R19" si="4">P11*Q11</f>
        <v>0</v>
      </c>
      <c r="T11" s="8"/>
      <c r="U11" s="12">
        <f t="shared" ref="U11:U19" si="5">B11+F11+J11+N11+Q11</f>
        <v>0</v>
      </c>
    </row>
    <row r="12" spans="1:22" x14ac:dyDescent="0.25">
      <c r="A12">
        <v>500</v>
      </c>
      <c r="B12" s="2"/>
      <c r="C12">
        <f t="shared" si="0"/>
        <v>0</v>
      </c>
      <c r="E12">
        <v>500</v>
      </c>
      <c r="F12" s="2"/>
      <c r="G12">
        <f t="shared" si="1"/>
        <v>0</v>
      </c>
      <c r="I12">
        <v>500</v>
      </c>
      <c r="J12" s="2"/>
      <c r="K12">
        <f t="shared" si="2"/>
        <v>0</v>
      </c>
      <c r="M12">
        <v>500</v>
      </c>
      <c r="N12" s="2"/>
      <c r="O12">
        <f t="shared" si="3"/>
        <v>0</v>
      </c>
      <c r="P12">
        <v>500</v>
      </c>
      <c r="Q12" s="2"/>
      <c r="R12">
        <f t="shared" si="4"/>
        <v>0</v>
      </c>
      <c r="T12" s="8"/>
      <c r="U12" s="12">
        <f t="shared" si="5"/>
        <v>0</v>
      </c>
    </row>
    <row r="13" spans="1:22" x14ac:dyDescent="0.25">
      <c r="A13">
        <v>100</v>
      </c>
      <c r="B13" s="2"/>
      <c r="C13">
        <f t="shared" si="0"/>
        <v>0</v>
      </c>
      <c r="E13">
        <v>100</v>
      </c>
      <c r="F13" s="2"/>
      <c r="G13">
        <f t="shared" si="1"/>
        <v>0</v>
      </c>
      <c r="I13">
        <v>100</v>
      </c>
      <c r="J13" s="2"/>
      <c r="K13">
        <f t="shared" si="2"/>
        <v>0</v>
      </c>
      <c r="M13">
        <v>100</v>
      </c>
      <c r="N13" s="2"/>
      <c r="O13">
        <f t="shared" si="3"/>
        <v>0</v>
      </c>
      <c r="P13">
        <v>100</v>
      </c>
      <c r="Q13" s="2"/>
      <c r="R13">
        <f t="shared" si="4"/>
        <v>0</v>
      </c>
      <c r="T13" s="8"/>
      <c r="U13" s="12">
        <f t="shared" si="5"/>
        <v>0</v>
      </c>
    </row>
    <row r="14" spans="1:22" x14ac:dyDescent="0.25">
      <c r="A14">
        <v>50</v>
      </c>
      <c r="B14" s="2"/>
      <c r="C14">
        <f t="shared" si="0"/>
        <v>0</v>
      </c>
      <c r="E14">
        <v>50</v>
      </c>
      <c r="F14" s="2"/>
      <c r="G14">
        <f t="shared" si="1"/>
        <v>0</v>
      </c>
      <c r="I14">
        <v>50</v>
      </c>
      <c r="J14" s="2"/>
      <c r="K14">
        <f t="shared" si="2"/>
        <v>0</v>
      </c>
      <c r="M14">
        <v>50</v>
      </c>
      <c r="N14" s="2"/>
      <c r="O14">
        <f t="shared" si="3"/>
        <v>0</v>
      </c>
      <c r="P14">
        <v>50</v>
      </c>
      <c r="Q14" s="2"/>
      <c r="R14">
        <f t="shared" si="4"/>
        <v>0</v>
      </c>
      <c r="T14" s="8"/>
      <c r="U14" s="12">
        <f t="shared" si="5"/>
        <v>0</v>
      </c>
    </row>
    <row r="15" spans="1:22" x14ac:dyDescent="0.25">
      <c r="A15">
        <v>20</v>
      </c>
      <c r="B15" s="2"/>
      <c r="C15">
        <f t="shared" si="0"/>
        <v>0</v>
      </c>
      <c r="E15">
        <v>20</v>
      </c>
      <c r="F15" s="2"/>
      <c r="G15">
        <f t="shared" si="1"/>
        <v>0</v>
      </c>
      <c r="I15">
        <v>20</v>
      </c>
      <c r="J15" s="2"/>
      <c r="K15">
        <f t="shared" si="2"/>
        <v>0</v>
      </c>
      <c r="M15">
        <v>20</v>
      </c>
      <c r="N15" s="2"/>
      <c r="O15">
        <f t="shared" si="3"/>
        <v>0</v>
      </c>
      <c r="P15">
        <v>20</v>
      </c>
      <c r="Q15" s="2"/>
      <c r="R15">
        <f t="shared" si="4"/>
        <v>0</v>
      </c>
      <c r="T15" s="8"/>
      <c r="U15" s="12">
        <f t="shared" si="5"/>
        <v>0</v>
      </c>
    </row>
    <row r="16" spans="1:22" x14ac:dyDescent="0.25">
      <c r="A16">
        <v>10</v>
      </c>
      <c r="B16" s="2"/>
      <c r="C16">
        <f t="shared" si="0"/>
        <v>0</v>
      </c>
      <c r="E16">
        <v>10</v>
      </c>
      <c r="F16" s="2"/>
      <c r="G16">
        <f t="shared" si="1"/>
        <v>0</v>
      </c>
      <c r="I16">
        <v>10</v>
      </c>
      <c r="J16" s="2"/>
      <c r="K16">
        <f t="shared" si="2"/>
        <v>0</v>
      </c>
      <c r="M16">
        <v>10</v>
      </c>
      <c r="N16" s="2"/>
      <c r="O16">
        <f t="shared" si="3"/>
        <v>0</v>
      </c>
      <c r="P16">
        <v>10</v>
      </c>
      <c r="Q16" s="2"/>
      <c r="R16">
        <f t="shared" si="4"/>
        <v>0</v>
      </c>
      <c r="T16" s="8"/>
      <c r="U16" s="12">
        <f t="shared" si="5"/>
        <v>0</v>
      </c>
    </row>
    <row r="17" spans="1:21" x14ac:dyDescent="0.25">
      <c r="A17">
        <v>5</v>
      </c>
      <c r="B17" s="2"/>
      <c r="C17">
        <f t="shared" si="0"/>
        <v>0</v>
      </c>
      <c r="E17">
        <v>5</v>
      </c>
      <c r="F17" s="2"/>
      <c r="G17">
        <f t="shared" si="1"/>
        <v>0</v>
      </c>
      <c r="I17">
        <v>5</v>
      </c>
      <c r="J17" s="2"/>
      <c r="K17">
        <f t="shared" si="2"/>
        <v>0</v>
      </c>
      <c r="M17">
        <v>5</v>
      </c>
      <c r="N17" s="2"/>
      <c r="O17">
        <f t="shared" si="3"/>
        <v>0</v>
      </c>
      <c r="P17">
        <v>5</v>
      </c>
      <c r="Q17" s="2"/>
      <c r="R17">
        <f t="shared" si="4"/>
        <v>0</v>
      </c>
      <c r="T17" s="8"/>
      <c r="U17" s="12">
        <f t="shared" si="5"/>
        <v>0</v>
      </c>
    </row>
    <row r="18" spans="1:21" x14ac:dyDescent="0.25">
      <c r="A18">
        <v>2</v>
      </c>
      <c r="B18" s="2"/>
      <c r="C18">
        <f t="shared" si="0"/>
        <v>0</v>
      </c>
      <c r="E18">
        <v>2</v>
      </c>
      <c r="F18" s="2"/>
      <c r="G18">
        <f t="shared" si="1"/>
        <v>0</v>
      </c>
      <c r="I18">
        <v>2</v>
      </c>
      <c r="J18" s="2"/>
      <c r="K18">
        <f t="shared" si="2"/>
        <v>0</v>
      </c>
      <c r="M18">
        <v>2</v>
      </c>
      <c r="N18" s="2"/>
      <c r="O18">
        <f t="shared" si="3"/>
        <v>0</v>
      </c>
      <c r="P18">
        <v>2</v>
      </c>
      <c r="Q18" s="2"/>
      <c r="R18">
        <f t="shared" si="4"/>
        <v>0</v>
      </c>
      <c r="T18" s="8"/>
      <c r="U18" s="12">
        <f t="shared" si="5"/>
        <v>0</v>
      </c>
    </row>
    <row r="19" spans="1:21" x14ac:dyDescent="0.25">
      <c r="A19">
        <v>1</v>
      </c>
      <c r="B19" s="6"/>
      <c r="C19">
        <f t="shared" si="0"/>
        <v>0</v>
      </c>
      <c r="E19">
        <v>1</v>
      </c>
      <c r="F19" s="2"/>
      <c r="G19">
        <f t="shared" si="1"/>
        <v>0</v>
      </c>
      <c r="I19">
        <v>1</v>
      </c>
      <c r="J19" s="2"/>
      <c r="K19">
        <f t="shared" si="2"/>
        <v>0</v>
      </c>
      <c r="M19">
        <v>1</v>
      </c>
      <c r="N19" s="2"/>
      <c r="O19">
        <f t="shared" si="3"/>
        <v>0</v>
      </c>
      <c r="P19">
        <v>1</v>
      </c>
      <c r="Q19" s="2"/>
      <c r="R19">
        <f t="shared" si="4"/>
        <v>0</v>
      </c>
      <c r="T19" s="8"/>
      <c r="U19" s="12">
        <f t="shared" si="5"/>
        <v>0</v>
      </c>
    </row>
    <row r="20" spans="1:21" x14ac:dyDescent="0.25">
      <c r="A20" t="s">
        <v>11</v>
      </c>
      <c r="C20" s="9">
        <f>SUM(C10:C19)</f>
        <v>0</v>
      </c>
      <c r="G20" s="9">
        <f>SUM(G10:G19)</f>
        <v>0</v>
      </c>
      <c r="K20" s="9">
        <f>SUM(K10:K19)</f>
        <v>0</v>
      </c>
      <c r="O20" s="9">
        <f>SUM(O10:O19)</f>
        <v>0</v>
      </c>
      <c r="R20" s="9">
        <f>SUM(R10:R19)</f>
        <v>0</v>
      </c>
      <c r="T20" s="8">
        <f>C20+G20+K20+O20+R20</f>
        <v>0</v>
      </c>
    </row>
    <row r="21" spans="1:21" x14ac:dyDescent="0.25">
      <c r="T21" s="8"/>
    </row>
    <row r="22" spans="1:21" x14ac:dyDescent="0.25">
      <c r="A22" t="s">
        <v>12</v>
      </c>
      <c r="C22" s="29"/>
      <c r="D22" s="1" t="s">
        <v>10</v>
      </c>
      <c r="E22" s="1"/>
      <c r="F22" s="1"/>
      <c r="G22" s="30"/>
      <c r="H22" s="1" t="s">
        <v>13</v>
      </c>
      <c r="I22" s="1"/>
      <c r="J22" s="1"/>
      <c r="K22" s="29"/>
      <c r="L22" s="1"/>
      <c r="M22" s="1"/>
      <c r="N22" s="1"/>
      <c r="O22" s="29"/>
      <c r="P22" s="1"/>
      <c r="Q22" s="1"/>
      <c r="R22" s="30"/>
      <c r="S22" s="1"/>
      <c r="T22" s="1">
        <f>C22+G22+K22+O22+R22</f>
        <v>0</v>
      </c>
    </row>
    <row r="23" spans="1:21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1" x14ac:dyDescent="0.25">
      <c r="A24" t="s">
        <v>14</v>
      </c>
      <c r="C24" s="1">
        <f>C20-C22</f>
        <v>0</v>
      </c>
      <c r="D24" s="1"/>
      <c r="E24" s="1"/>
      <c r="F24" s="1"/>
      <c r="G24" s="1">
        <f>G20-G22</f>
        <v>0</v>
      </c>
      <c r="H24" s="1"/>
      <c r="I24" s="1"/>
      <c r="J24" s="1"/>
      <c r="K24" s="1">
        <f>K20-K22</f>
        <v>0</v>
      </c>
      <c r="L24" s="1"/>
      <c r="M24" s="1"/>
      <c r="N24" s="1"/>
      <c r="O24" s="1">
        <f>O20-O22</f>
        <v>0</v>
      </c>
      <c r="P24" s="1"/>
      <c r="Q24" s="1"/>
      <c r="R24" s="1">
        <f>R20-R22</f>
        <v>0</v>
      </c>
      <c r="S24" s="1"/>
      <c r="T24" s="1">
        <f>IF(0&lt;C24,C24,0) + IF(0&lt;G24,G24,0) + IF(0&lt;K24,K24,0) + IF(0&lt;O24,O24,0) + IF(0&lt;R24,R24,0)</f>
        <v>0</v>
      </c>
    </row>
    <row r="25" spans="1:21" x14ac:dyDescent="0.25">
      <c r="A25" t="s">
        <v>15</v>
      </c>
      <c r="C25" s="18" t="str">
        <f>IF(C24=0, " ", IF(C24&lt;0,"UNPAID"," "))</f>
        <v xml:space="preserve"> </v>
      </c>
      <c r="D25" s="18" t="str">
        <f t="shared" ref="D25:R25" si="6">IF(D24=0, " ", IF(D24&lt;0,"UNPAID"," "))</f>
        <v xml:space="preserve"> </v>
      </c>
      <c r="E25" s="18" t="str">
        <f t="shared" si="6"/>
        <v xml:space="preserve"> </v>
      </c>
      <c r="F25" s="18" t="str">
        <f t="shared" si="6"/>
        <v xml:space="preserve"> </v>
      </c>
      <c r="G25" s="18" t="str">
        <f t="shared" si="6"/>
        <v xml:space="preserve"> </v>
      </c>
      <c r="H25" s="18" t="str">
        <f t="shared" si="6"/>
        <v xml:space="preserve"> </v>
      </c>
      <c r="I25" s="18" t="str">
        <f t="shared" si="6"/>
        <v xml:space="preserve"> </v>
      </c>
      <c r="J25" s="18" t="str">
        <f t="shared" si="6"/>
        <v xml:space="preserve"> </v>
      </c>
      <c r="K25" s="18" t="str">
        <f t="shared" si="6"/>
        <v xml:space="preserve"> </v>
      </c>
      <c r="L25" s="18" t="str">
        <f t="shared" si="6"/>
        <v xml:space="preserve"> </v>
      </c>
      <c r="M25" s="18" t="str">
        <f t="shared" si="6"/>
        <v xml:space="preserve"> </v>
      </c>
      <c r="N25" s="18" t="str">
        <f t="shared" si="6"/>
        <v xml:space="preserve"> </v>
      </c>
      <c r="O25" s="18" t="str">
        <f t="shared" si="6"/>
        <v xml:space="preserve"> </v>
      </c>
      <c r="P25" s="18" t="str">
        <f t="shared" si="6"/>
        <v xml:space="preserve"> </v>
      </c>
      <c r="Q25" s="18" t="str">
        <f t="shared" si="6"/>
        <v xml:space="preserve"> </v>
      </c>
      <c r="R25" s="18" t="str">
        <f t="shared" si="6"/>
        <v xml:space="preserve"> </v>
      </c>
    </row>
    <row r="28" spans="1:21" ht="24.75" customHeight="1" thickBot="1" x14ac:dyDescent="0.55000000000000004">
      <c r="A28" s="53" t="s">
        <v>16</v>
      </c>
      <c r="B28" s="53"/>
      <c r="C28" s="53"/>
      <c r="E28" s="11"/>
      <c r="F28" s="11"/>
      <c r="G28" s="11"/>
      <c r="J28" s="52" t="s">
        <v>17</v>
      </c>
      <c r="K28" s="52"/>
      <c r="L28" s="52"/>
      <c r="M28" s="52"/>
      <c r="N28" s="52"/>
      <c r="O28" s="52"/>
      <c r="P28" s="52"/>
      <c r="Q28" s="52"/>
      <c r="R28" s="52"/>
    </row>
    <row r="29" spans="1:21" ht="21" x14ac:dyDescent="0.35">
      <c r="A29" s="10" t="s">
        <v>18</v>
      </c>
      <c r="B29" s="83">
        <v>1000658994</v>
      </c>
      <c r="C29" s="83"/>
      <c r="E29" s="63" t="s">
        <v>19</v>
      </c>
      <c r="F29" s="64"/>
      <c r="G29" s="64"/>
      <c r="H29" s="65"/>
    </row>
    <row r="31" spans="1:21" ht="21.75" customHeight="1" x14ac:dyDescent="0.35">
      <c r="A31" s="28" t="s">
        <v>20</v>
      </c>
      <c r="B31" s="62">
        <f>IF(T22-INT(T22)&lt;0.5,INT(T22),ROUNDUP(T22,0))</f>
        <v>0</v>
      </c>
      <c r="C31" s="62"/>
      <c r="D31" s="62"/>
      <c r="J31" s="54" t="s">
        <v>21</v>
      </c>
      <c r="K31" s="55"/>
      <c r="L31" s="54" t="s">
        <v>22</v>
      </c>
      <c r="M31" s="55"/>
      <c r="N31" s="54" t="s">
        <v>23</v>
      </c>
      <c r="O31" s="55"/>
      <c r="P31" s="54" t="s">
        <v>20</v>
      </c>
      <c r="Q31" s="55"/>
      <c r="R31" s="4" t="s">
        <v>24</v>
      </c>
      <c r="S31" s="4" t="s">
        <v>25</v>
      </c>
      <c r="T31" s="54" t="s">
        <v>26</v>
      </c>
      <c r="U31" s="55"/>
    </row>
    <row r="32" spans="1:21" ht="21.75" customHeight="1" x14ac:dyDescent="0.35">
      <c r="A32" s="27" t="s">
        <v>25</v>
      </c>
      <c r="B32" s="62">
        <f>IF(T24-INT(T24)&lt;0.5,INT(T24),ROUNDUP(T24,0))</f>
        <v>0</v>
      </c>
      <c r="C32" s="62"/>
      <c r="D32" s="62"/>
      <c r="E32" s="41"/>
      <c r="F32" s="41"/>
      <c r="G32" s="41"/>
      <c r="I32" t="s">
        <v>42</v>
      </c>
      <c r="J32" s="60" t="e">
        <f ca="1">I5</f>
        <v>#VALUE!</v>
      </c>
      <c r="K32" s="61"/>
      <c r="L32" s="70"/>
      <c r="M32" s="71"/>
      <c r="N32" s="70">
        <f>I6</f>
        <v>30000</v>
      </c>
      <c r="O32" s="71"/>
      <c r="P32" s="70"/>
      <c r="Q32" s="71"/>
      <c r="R32" s="37">
        <f>I6</f>
        <v>30000</v>
      </c>
      <c r="S32" s="37"/>
      <c r="T32" s="70" t="e">
        <f ca="1">J32+L32-N32</f>
        <v>#VALUE!</v>
      </c>
      <c r="U32" s="71"/>
    </row>
    <row r="33" spans="1:22" ht="23.25" customHeight="1" x14ac:dyDescent="0.25">
      <c r="A33" s="74" t="s">
        <v>26</v>
      </c>
      <c r="B33" s="82">
        <f>B31+B32</f>
        <v>0</v>
      </c>
      <c r="C33" s="82"/>
      <c r="D33" s="82"/>
      <c r="E33" s="41"/>
      <c r="F33" s="41"/>
      <c r="G33" s="41"/>
      <c r="I33" t="s">
        <v>27</v>
      </c>
      <c r="J33" s="48" t="e">
        <f ca="1">IF(I4="YES",T32,0)</f>
        <v>#VALUE!</v>
      </c>
      <c r="K33" s="49"/>
      <c r="L33" s="48"/>
      <c r="M33" s="49"/>
      <c r="N33" s="48" t="e">
        <f ca="1">J33</f>
        <v>#VALUE!</v>
      </c>
      <c r="O33" s="49"/>
      <c r="P33" s="48"/>
      <c r="Q33" s="49"/>
      <c r="R33" s="38"/>
      <c r="S33" s="38"/>
      <c r="T33" s="48" t="e">
        <f ca="1">J33+L33-N33</f>
        <v>#VALUE!</v>
      </c>
      <c r="U33" s="49"/>
    </row>
    <row r="34" spans="1:22" ht="21.75" customHeight="1" x14ac:dyDescent="0.25">
      <c r="A34" s="75"/>
      <c r="B34" s="82"/>
      <c r="C34" s="82"/>
      <c r="D34" s="82"/>
      <c r="I34" t="s">
        <v>28</v>
      </c>
      <c r="J34" s="48" t="e">
        <f ca="1">IF(I4="YES",T33,T32)</f>
        <v>#VALUE!</v>
      </c>
      <c r="K34" s="49"/>
      <c r="L34" s="46">
        <f>P34+R34+S34</f>
        <v>30000</v>
      </c>
      <c r="M34" s="47"/>
      <c r="N34" s="46"/>
      <c r="O34" s="47"/>
      <c r="P34" s="76">
        <f>IF(B31-INT(B31)&lt;0.5,INT(B31),ROUNDUP(B31,0))</f>
        <v>0</v>
      </c>
      <c r="Q34" s="77"/>
      <c r="R34" s="39">
        <f>I6</f>
        <v>30000</v>
      </c>
      <c r="S34" s="39">
        <f>IF(B32-INT(B32)&lt;0.5,INT(B32),ROUNDUP(B32,0))</f>
        <v>0</v>
      </c>
      <c r="T34" s="72" t="e">
        <f ca="1">J34+L34-N34</f>
        <v>#VALUE!</v>
      </c>
      <c r="U34" s="73"/>
    </row>
    <row r="35" spans="1:22" x14ac:dyDescent="0.25">
      <c r="P35" s="1"/>
    </row>
    <row r="36" spans="1:22" x14ac:dyDescent="0.25">
      <c r="G36" s="22"/>
      <c r="H36" s="22"/>
      <c r="I36" s="22"/>
      <c r="J36" s="22"/>
      <c r="K36" s="22"/>
      <c r="L36" s="22"/>
      <c r="M36" s="25"/>
      <c r="N36" s="26"/>
      <c r="P36" s="1"/>
      <c r="Q36" s="25"/>
      <c r="R36" s="25"/>
      <c r="S36" s="25"/>
      <c r="T36" s="25"/>
      <c r="U36" s="25"/>
      <c r="V36" s="25"/>
    </row>
    <row r="37" spans="1:22" x14ac:dyDescent="0.25">
      <c r="T37" s="78" t="s">
        <v>29</v>
      </c>
      <c r="U37" s="79"/>
    </row>
    <row r="38" spans="1:22" ht="14.45" customHeight="1" x14ac:dyDescent="0.25">
      <c r="F38" s="68" t="s">
        <v>30</v>
      </c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T38" s="80"/>
      <c r="U38" s="81"/>
    </row>
    <row r="39" spans="1:22" ht="14.45" customHeight="1" x14ac:dyDescent="0.25">
      <c r="F39" s="68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</row>
    <row r="40" spans="1:22" ht="14.45" customHeight="1" x14ac:dyDescent="0.25">
      <c r="F40" s="68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</row>
    <row r="41" spans="1:22" x14ac:dyDescent="0.25">
      <c r="A41" s="66" t="s">
        <v>31</v>
      </c>
      <c r="B41" s="66"/>
      <c r="C41" s="66"/>
      <c r="D41" s="66"/>
      <c r="E41" s="66"/>
      <c r="F41" s="66"/>
      <c r="G41" s="66"/>
      <c r="H41" s="66"/>
      <c r="I41" s="66"/>
      <c r="J41" s="66"/>
      <c r="K41" s="14"/>
      <c r="L41" s="15"/>
      <c r="M41" s="66" t="s">
        <v>32</v>
      </c>
      <c r="N41" s="66"/>
      <c r="O41" s="66"/>
      <c r="P41" s="66"/>
      <c r="Q41" s="66"/>
      <c r="R41" s="66"/>
      <c r="S41" s="66"/>
      <c r="T41" s="66"/>
      <c r="U41" s="66"/>
      <c r="V41" s="66"/>
    </row>
    <row r="42" spans="1:22" x14ac:dyDescent="0.25">
      <c r="A42" s="66"/>
      <c r="B42" s="66"/>
      <c r="C42" s="66"/>
      <c r="D42" s="66"/>
      <c r="E42" s="66"/>
      <c r="F42" s="66"/>
      <c r="G42" s="66"/>
      <c r="H42" s="66"/>
      <c r="I42" s="66"/>
      <c r="J42" s="66"/>
      <c r="K42" s="14"/>
      <c r="L42" s="15"/>
      <c r="M42" s="66"/>
      <c r="N42" s="66"/>
      <c r="O42" s="66"/>
      <c r="P42" s="66"/>
      <c r="Q42" s="66"/>
      <c r="R42" s="66"/>
      <c r="S42" s="66"/>
      <c r="T42" s="66"/>
      <c r="U42" s="66"/>
      <c r="V42" s="66"/>
    </row>
    <row r="43" spans="1:22" x14ac:dyDescent="0.25">
      <c r="A43" s="66"/>
      <c r="B43" s="66"/>
      <c r="C43" s="66"/>
      <c r="D43" s="66"/>
      <c r="E43" s="66"/>
      <c r="F43" s="66"/>
      <c r="G43" s="66"/>
      <c r="H43" s="66"/>
      <c r="I43" s="66"/>
      <c r="J43" s="66"/>
      <c r="K43" s="14"/>
      <c r="L43" s="15"/>
      <c r="M43" s="66"/>
      <c r="N43" s="66"/>
      <c r="O43" s="66"/>
      <c r="P43" s="66"/>
      <c r="Q43" s="66"/>
      <c r="R43" s="66"/>
      <c r="S43" s="66"/>
      <c r="T43" s="66"/>
      <c r="U43" s="66"/>
      <c r="V43" s="66"/>
    </row>
    <row r="44" spans="1:22" x14ac:dyDescent="0.25">
      <c r="B44" s="67" t="s">
        <v>33</v>
      </c>
      <c r="C44" s="67"/>
      <c r="D44" s="67"/>
      <c r="E44" s="67"/>
      <c r="F44" s="67"/>
      <c r="G44" s="67" t="s">
        <v>34</v>
      </c>
      <c r="H44" s="67"/>
      <c r="I44" s="16" t="s">
        <v>26</v>
      </c>
      <c r="J44" s="13" t="s">
        <v>35</v>
      </c>
      <c r="K44" s="14"/>
      <c r="L44" s="15"/>
      <c r="M44" s="40" t="s">
        <v>33</v>
      </c>
      <c r="N44" s="40"/>
      <c r="O44" s="40"/>
      <c r="P44" s="40"/>
      <c r="Q44" s="40"/>
      <c r="R44" s="13"/>
      <c r="S44" s="67" t="s">
        <v>36</v>
      </c>
      <c r="T44" s="67"/>
      <c r="U44" s="16" t="s">
        <v>26</v>
      </c>
      <c r="V44" s="13" t="s">
        <v>37</v>
      </c>
    </row>
    <row r="45" spans="1:22" x14ac:dyDescent="0.25">
      <c r="I45" s="18"/>
      <c r="K45" s="14"/>
      <c r="L45" s="15"/>
    </row>
    <row r="46" spans="1:22" x14ac:dyDescent="0.25">
      <c r="A46" s="3">
        <v>5000</v>
      </c>
      <c r="B46" s="19"/>
      <c r="C46" s="19"/>
      <c r="D46" s="19"/>
      <c r="E46" s="19"/>
      <c r="F46" s="20"/>
      <c r="H46">
        <f t="shared" ref="H46:H55" si="7">SUM(B46:G46)</f>
        <v>0</v>
      </c>
      <c r="I46" s="36">
        <f t="shared" ref="I46:I55" si="8">A46*H46</f>
        <v>0</v>
      </c>
      <c r="J46">
        <f t="shared" ref="J46:J55" si="9">H46-U10</f>
        <v>0</v>
      </c>
      <c r="K46" s="14"/>
      <c r="L46" s="15"/>
      <c r="M46" s="17">
        <v>5000</v>
      </c>
      <c r="N46" s="19"/>
      <c r="O46" s="19"/>
      <c r="P46" s="19"/>
      <c r="Q46" s="19"/>
      <c r="R46" s="20"/>
      <c r="T46" s="3">
        <f t="shared" ref="T46:T55" si="10">SUM(N46:S46)</f>
        <v>0</v>
      </c>
      <c r="U46" s="1">
        <f t="shared" ref="U46:U55" si="11">M46*T46</f>
        <v>0</v>
      </c>
      <c r="V46">
        <f t="shared" ref="V46:V55" si="12">T46-U10</f>
        <v>0</v>
      </c>
    </row>
    <row r="47" spans="1:22" x14ac:dyDescent="0.25">
      <c r="A47" s="3">
        <v>1000</v>
      </c>
      <c r="B47" s="19"/>
      <c r="C47" s="19"/>
      <c r="D47" s="19"/>
      <c r="E47" s="19"/>
      <c r="F47" s="20"/>
      <c r="H47">
        <f t="shared" si="7"/>
        <v>0</v>
      </c>
      <c r="I47" s="36">
        <f t="shared" si="8"/>
        <v>0</v>
      </c>
      <c r="J47">
        <f t="shared" si="9"/>
        <v>0</v>
      </c>
      <c r="K47" s="14"/>
      <c r="L47" s="15"/>
      <c r="M47" s="17">
        <v>1000</v>
      </c>
      <c r="N47" s="19"/>
      <c r="O47" s="19"/>
      <c r="P47" s="19"/>
      <c r="Q47" s="19"/>
      <c r="R47" s="20"/>
      <c r="T47" s="3">
        <f t="shared" si="10"/>
        <v>0</v>
      </c>
      <c r="U47" s="1">
        <f t="shared" si="11"/>
        <v>0</v>
      </c>
      <c r="V47">
        <f t="shared" si="12"/>
        <v>0</v>
      </c>
    </row>
    <row r="48" spans="1:22" x14ac:dyDescent="0.25">
      <c r="A48" s="3">
        <v>500</v>
      </c>
      <c r="B48" s="19"/>
      <c r="C48" s="19"/>
      <c r="D48" s="19"/>
      <c r="E48" s="19"/>
      <c r="F48" s="20"/>
      <c r="H48">
        <f t="shared" si="7"/>
        <v>0</v>
      </c>
      <c r="I48" s="36">
        <f t="shared" si="8"/>
        <v>0</v>
      </c>
      <c r="J48">
        <f t="shared" si="9"/>
        <v>0</v>
      </c>
      <c r="K48" s="14"/>
      <c r="L48" s="15"/>
      <c r="M48" s="17">
        <v>500</v>
      </c>
      <c r="N48" s="19"/>
      <c r="O48" s="19"/>
      <c r="P48" s="19"/>
      <c r="Q48" s="19"/>
      <c r="R48" s="20"/>
      <c r="T48" s="3">
        <f t="shared" si="10"/>
        <v>0</v>
      </c>
      <c r="U48" s="1">
        <f t="shared" si="11"/>
        <v>0</v>
      </c>
      <c r="V48">
        <f t="shared" si="12"/>
        <v>0</v>
      </c>
    </row>
    <row r="49" spans="1:22" x14ac:dyDescent="0.25">
      <c r="A49" s="3">
        <v>100</v>
      </c>
      <c r="B49" s="19"/>
      <c r="C49" s="19"/>
      <c r="D49" s="19"/>
      <c r="E49" s="19"/>
      <c r="F49" s="20"/>
      <c r="H49">
        <f t="shared" si="7"/>
        <v>0</v>
      </c>
      <c r="I49" s="36">
        <f t="shared" si="8"/>
        <v>0</v>
      </c>
      <c r="J49">
        <f t="shared" si="9"/>
        <v>0</v>
      </c>
      <c r="K49" s="14"/>
      <c r="L49" s="15"/>
      <c r="M49" s="17">
        <v>100</v>
      </c>
      <c r="N49" s="19"/>
      <c r="O49" s="19"/>
      <c r="P49" s="19"/>
      <c r="Q49" s="19"/>
      <c r="R49" s="20"/>
      <c r="T49" s="3">
        <f t="shared" si="10"/>
        <v>0</v>
      </c>
      <c r="U49" s="1">
        <f t="shared" si="11"/>
        <v>0</v>
      </c>
      <c r="V49">
        <f t="shared" si="12"/>
        <v>0</v>
      </c>
    </row>
    <row r="50" spans="1:22" x14ac:dyDescent="0.25">
      <c r="A50" s="3">
        <v>50</v>
      </c>
      <c r="B50" s="19"/>
      <c r="C50" s="19"/>
      <c r="D50" s="19"/>
      <c r="E50" s="19"/>
      <c r="F50" s="20"/>
      <c r="H50">
        <f t="shared" si="7"/>
        <v>0</v>
      </c>
      <c r="I50" s="36">
        <f t="shared" si="8"/>
        <v>0</v>
      </c>
      <c r="J50">
        <f t="shared" si="9"/>
        <v>0</v>
      </c>
      <c r="K50" s="14"/>
      <c r="L50" s="15"/>
      <c r="M50" s="17">
        <v>50</v>
      </c>
      <c r="N50" s="19"/>
      <c r="O50" s="19"/>
      <c r="P50" s="19"/>
      <c r="Q50" s="19"/>
      <c r="R50" s="20"/>
      <c r="T50" s="3">
        <f t="shared" si="10"/>
        <v>0</v>
      </c>
      <c r="U50" s="1">
        <f t="shared" si="11"/>
        <v>0</v>
      </c>
      <c r="V50">
        <f t="shared" si="12"/>
        <v>0</v>
      </c>
    </row>
    <row r="51" spans="1:22" x14ac:dyDescent="0.25">
      <c r="A51" s="3">
        <v>20</v>
      </c>
      <c r="B51" s="19"/>
      <c r="C51" s="19"/>
      <c r="D51" s="19"/>
      <c r="E51" s="19"/>
      <c r="F51" s="20"/>
      <c r="H51">
        <f t="shared" si="7"/>
        <v>0</v>
      </c>
      <c r="I51" s="36">
        <f t="shared" si="8"/>
        <v>0</v>
      </c>
      <c r="J51">
        <f t="shared" si="9"/>
        <v>0</v>
      </c>
      <c r="K51" s="14"/>
      <c r="L51" s="15"/>
      <c r="M51" s="17">
        <v>20</v>
      </c>
      <c r="N51" s="19"/>
      <c r="O51" s="19"/>
      <c r="P51" s="19"/>
      <c r="Q51" s="19"/>
      <c r="R51" s="20"/>
      <c r="T51" s="3">
        <f t="shared" si="10"/>
        <v>0</v>
      </c>
      <c r="U51" s="1">
        <f t="shared" si="11"/>
        <v>0</v>
      </c>
      <c r="V51">
        <f t="shared" si="12"/>
        <v>0</v>
      </c>
    </row>
    <row r="52" spans="1:22" x14ac:dyDescent="0.25">
      <c r="A52" s="3">
        <v>10</v>
      </c>
      <c r="B52" s="19"/>
      <c r="C52" s="19"/>
      <c r="D52" s="19"/>
      <c r="E52" s="19"/>
      <c r="F52" s="20"/>
      <c r="H52">
        <f t="shared" si="7"/>
        <v>0</v>
      </c>
      <c r="I52" s="36">
        <f t="shared" si="8"/>
        <v>0</v>
      </c>
      <c r="J52">
        <f t="shared" si="9"/>
        <v>0</v>
      </c>
      <c r="K52" s="14"/>
      <c r="L52" s="15"/>
      <c r="M52" s="17">
        <v>10</v>
      </c>
      <c r="N52" s="19"/>
      <c r="O52" s="19"/>
      <c r="P52" s="19"/>
      <c r="Q52" s="19"/>
      <c r="R52" s="20"/>
      <c r="T52" s="3">
        <f t="shared" si="10"/>
        <v>0</v>
      </c>
      <c r="U52" s="1">
        <f t="shared" si="11"/>
        <v>0</v>
      </c>
      <c r="V52">
        <f t="shared" si="12"/>
        <v>0</v>
      </c>
    </row>
    <row r="53" spans="1:22" x14ac:dyDescent="0.25">
      <c r="A53" s="3">
        <v>5</v>
      </c>
      <c r="B53" s="19"/>
      <c r="C53" s="19"/>
      <c r="D53" s="19"/>
      <c r="E53" s="19"/>
      <c r="F53" s="20"/>
      <c r="H53">
        <f t="shared" si="7"/>
        <v>0</v>
      </c>
      <c r="I53" s="36">
        <f t="shared" si="8"/>
        <v>0</v>
      </c>
      <c r="J53">
        <f t="shared" si="9"/>
        <v>0</v>
      </c>
      <c r="K53" s="14"/>
      <c r="L53" s="15"/>
      <c r="M53" s="17">
        <v>5</v>
      </c>
      <c r="N53" s="19"/>
      <c r="O53" s="19"/>
      <c r="P53" s="19"/>
      <c r="Q53" s="19"/>
      <c r="R53" s="20"/>
      <c r="T53" s="3">
        <f t="shared" si="10"/>
        <v>0</v>
      </c>
      <c r="U53" s="1">
        <f t="shared" si="11"/>
        <v>0</v>
      </c>
      <c r="V53">
        <f t="shared" si="12"/>
        <v>0</v>
      </c>
    </row>
    <row r="54" spans="1:22" x14ac:dyDescent="0.25">
      <c r="A54" s="3">
        <v>2</v>
      </c>
      <c r="B54" s="19"/>
      <c r="C54" s="19"/>
      <c r="D54" s="19"/>
      <c r="E54" s="19"/>
      <c r="F54" s="20"/>
      <c r="H54">
        <f t="shared" si="7"/>
        <v>0</v>
      </c>
      <c r="I54" s="36">
        <f t="shared" si="8"/>
        <v>0</v>
      </c>
      <c r="J54">
        <f t="shared" si="9"/>
        <v>0</v>
      </c>
      <c r="K54" s="14"/>
      <c r="L54" s="15"/>
      <c r="M54" s="17">
        <v>2</v>
      </c>
      <c r="N54" s="19"/>
      <c r="O54" s="19"/>
      <c r="P54" s="19"/>
      <c r="Q54" s="19"/>
      <c r="R54" s="20"/>
      <c r="T54" s="3">
        <f t="shared" si="10"/>
        <v>0</v>
      </c>
      <c r="U54" s="1">
        <f t="shared" si="11"/>
        <v>0</v>
      </c>
      <c r="V54">
        <f t="shared" si="12"/>
        <v>0</v>
      </c>
    </row>
    <row r="55" spans="1:22" x14ac:dyDescent="0.25">
      <c r="A55" s="3">
        <v>1</v>
      </c>
      <c r="B55" s="19"/>
      <c r="C55" s="19"/>
      <c r="D55" s="19"/>
      <c r="E55" s="19"/>
      <c r="F55" s="20"/>
      <c r="H55">
        <f t="shared" si="7"/>
        <v>0</v>
      </c>
      <c r="I55" s="36">
        <f t="shared" si="8"/>
        <v>0</v>
      </c>
      <c r="J55">
        <f t="shared" si="9"/>
        <v>0</v>
      </c>
      <c r="K55" s="14"/>
      <c r="L55" s="15"/>
      <c r="M55" s="17">
        <v>1</v>
      </c>
      <c r="N55" s="19"/>
      <c r="O55" s="19"/>
      <c r="P55" s="19"/>
      <c r="Q55" s="19"/>
      <c r="R55" s="20"/>
      <c r="T55" s="3">
        <f t="shared" si="10"/>
        <v>0</v>
      </c>
      <c r="U55" s="1">
        <f t="shared" si="11"/>
        <v>0</v>
      </c>
      <c r="V55">
        <f t="shared" si="12"/>
        <v>0</v>
      </c>
    </row>
    <row r="56" spans="1:22" x14ac:dyDescent="0.25">
      <c r="I56" s="18"/>
      <c r="K56" s="14"/>
      <c r="L56" s="15"/>
    </row>
    <row r="57" spans="1:22" ht="15.75" thickBot="1" x14ac:dyDescent="0.3">
      <c r="B57" s="59" t="s">
        <v>38</v>
      </c>
      <c r="C57" s="59"/>
      <c r="D57" s="59"/>
      <c r="E57" s="59"/>
      <c r="F57" s="59"/>
      <c r="G57" s="7"/>
      <c r="I57" s="31">
        <f>SUM(I46:I55)</f>
        <v>0</v>
      </c>
      <c r="J57" s="1"/>
      <c r="K57" s="32"/>
      <c r="L57" s="33"/>
      <c r="M57" s="1"/>
      <c r="N57" s="34" t="s">
        <v>38</v>
      </c>
      <c r="O57" s="34"/>
      <c r="P57" s="34"/>
      <c r="Q57" s="34"/>
      <c r="R57" s="34"/>
      <c r="S57" s="34"/>
      <c r="T57" s="1"/>
      <c r="U57" s="35">
        <f>SUM(U46:U55)</f>
        <v>0</v>
      </c>
    </row>
    <row r="58" spans="1:22" ht="15.75" thickTop="1" x14ac:dyDescent="0.25">
      <c r="B58" s="59" t="s">
        <v>39</v>
      </c>
      <c r="C58" s="59"/>
      <c r="D58" s="59"/>
      <c r="E58" s="59"/>
      <c r="F58" s="59"/>
      <c r="I58" s="24">
        <f>I57-B33</f>
        <v>0</v>
      </c>
      <c r="J58" s="1"/>
      <c r="K58" s="32"/>
      <c r="L58" s="33"/>
      <c r="M58" s="1"/>
      <c r="N58" s="34" t="s">
        <v>39</v>
      </c>
      <c r="O58" s="34"/>
      <c r="P58" s="34"/>
      <c r="Q58" s="34"/>
      <c r="R58" s="34"/>
      <c r="S58" s="1"/>
      <c r="T58" s="1"/>
      <c r="U58" s="24">
        <f>U57-B33</f>
        <v>0</v>
      </c>
    </row>
  </sheetData>
  <mergeCells count="51">
    <mergeCell ref="P34:Q34"/>
    <mergeCell ref="B57:F57"/>
    <mergeCell ref="U8:V8"/>
    <mergeCell ref="A8:C8"/>
    <mergeCell ref="E8:G8"/>
    <mergeCell ref="T37:U38"/>
    <mergeCell ref="N34:O34"/>
    <mergeCell ref="B32:D32"/>
    <mergeCell ref="B33:D34"/>
    <mergeCell ref="J31:K31"/>
    <mergeCell ref="L31:M31"/>
    <mergeCell ref="B29:C29"/>
    <mergeCell ref="M8:O8"/>
    <mergeCell ref="L32:M32"/>
    <mergeCell ref="B58:F58"/>
    <mergeCell ref="E29:H29"/>
    <mergeCell ref="M41:V43"/>
    <mergeCell ref="S44:T44"/>
    <mergeCell ref="B44:F44"/>
    <mergeCell ref="G44:H44"/>
    <mergeCell ref="F38:R40"/>
    <mergeCell ref="P32:Q32"/>
    <mergeCell ref="T32:U32"/>
    <mergeCell ref="T34:U34"/>
    <mergeCell ref="T33:U33"/>
    <mergeCell ref="T31:U31"/>
    <mergeCell ref="A41:J43"/>
    <mergeCell ref="A33:A34"/>
    <mergeCell ref="N32:O32"/>
    <mergeCell ref="J34:K34"/>
    <mergeCell ref="G1:P1"/>
    <mergeCell ref="A4:G4"/>
    <mergeCell ref="J33:K33"/>
    <mergeCell ref="J28:R28"/>
    <mergeCell ref="A28:C28"/>
    <mergeCell ref="N31:O31"/>
    <mergeCell ref="P31:Q31"/>
    <mergeCell ref="A5:G5"/>
    <mergeCell ref="I5:K5"/>
    <mergeCell ref="I4:K4"/>
    <mergeCell ref="I6:K6"/>
    <mergeCell ref="I8:K8"/>
    <mergeCell ref="P33:Q33"/>
    <mergeCell ref="J32:K32"/>
    <mergeCell ref="L33:M33"/>
    <mergeCell ref="B31:D31"/>
    <mergeCell ref="A6:G6"/>
    <mergeCell ref="A3:G3"/>
    <mergeCell ref="I3:K3"/>
    <mergeCell ref="L34:M34"/>
    <mergeCell ref="N33:O33"/>
  </mergeCells>
  <conditionalFormatting sqref="C25:R25">
    <cfRule type="cellIs" dxfId="11" priority="16" operator="equal">
      <formula>"YES"</formula>
    </cfRule>
    <cfRule type="cellIs" dxfId="10" priority="17" operator="equal">
      <formula>"PAID"</formula>
    </cfRule>
    <cfRule type="cellIs" dxfId="9" priority="26" operator="equal">
      <formula>"UNPAID"</formula>
    </cfRule>
  </conditionalFormatting>
  <conditionalFormatting sqref="I58">
    <cfRule type="cellIs" dxfId="8" priority="14" operator="greaterThan">
      <formula>0</formula>
    </cfRule>
    <cfRule type="cellIs" dxfId="7" priority="15" operator="lessThan">
      <formula>0</formula>
    </cfRule>
  </conditionalFormatting>
  <conditionalFormatting sqref="I4:K4">
    <cfRule type="cellIs" dxfId="6" priority="10" operator="equal">
      <formula>"NO"</formula>
    </cfRule>
    <cfRule type="cellIs" dxfId="5" priority="11" operator="equal">
      <formula>"YES"</formula>
    </cfRule>
  </conditionalFormatting>
  <conditionalFormatting sqref="I33:U33">
    <cfRule type="expression" dxfId="4" priority="5">
      <formula>$I$4="NO"</formula>
    </cfRule>
  </conditionalFormatting>
  <conditionalFormatting sqref="J33 L33 N33 P33 R33:T33">
    <cfRule type="expression" dxfId="3" priority="6">
      <formula>I4="NO"</formula>
    </cfRule>
  </conditionalFormatting>
  <conditionalFormatting sqref="J34:P34 T34:U34">
    <cfRule type="expression" dxfId="2" priority="4">
      <formula>#REF!&lt;=0</formula>
    </cfRule>
  </conditionalFormatting>
  <conditionalFormatting sqref="U58">
    <cfRule type="cellIs" dxfId="1" priority="12" operator="greaterThan">
      <formula>0</formula>
    </cfRule>
    <cfRule type="cellIs" dxfId="0" priority="13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PreviousT34">
                <anchor moveWithCells="1" sizeWithCells="1">
                  <from>
                    <xdr:col>5</xdr:col>
                    <xdr:colOff>514350</xdr:colOff>
                    <xdr:row>4</xdr:row>
                    <xdr:rowOff>9525</xdr:rowOff>
                  </from>
                  <to>
                    <xdr:col>7</xdr:col>
                    <xdr:colOff>628650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FLi Super</cp:lastModifiedBy>
  <cp:revision/>
  <dcterms:created xsi:type="dcterms:W3CDTF">2006-09-16T00:00:00Z</dcterms:created>
  <dcterms:modified xsi:type="dcterms:W3CDTF">2025-07-13T04:41:11Z</dcterms:modified>
  <cp:category/>
  <cp:contentStatus/>
</cp:coreProperties>
</file>