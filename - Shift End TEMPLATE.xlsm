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C26A06DC-0FB9-4233-A4AC-B87E2789624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G13" i="1"/>
  <c r="K13" i="1"/>
  <c r="O13" i="1"/>
  <c r="R13" i="1"/>
  <c r="C14" i="1"/>
  <c r="G14" i="1"/>
  <c r="K14" i="1"/>
  <c r="O14" i="1"/>
  <c r="R14" i="1"/>
  <c r="C15" i="1"/>
  <c r="G15" i="1"/>
  <c r="K15" i="1"/>
  <c r="O15" i="1"/>
  <c r="R15" i="1"/>
  <c r="C16" i="1"/>
  <c r="G16" i="1"/>
  <c r="K16" i="1"/>
  <c r="O16" i="1"/>
  <c r="R16" i="1"/>
  <c r="C17" i="1"/>
  <c r="G17" i="1"/>
  <c r="K17" i="1"/>
  <c r="O17" i="1"/>
  <c r="R17" i="1"/>
  <c r="I3" i="1"/>
  <c r="I8" i="1" a="1"/>
  <c r="I8" i="1" l="1"/>
  <c r="I4" i="1"/>
  <c r="J37" i="1" l="1"/>
  <c r="R37" i="1"/>
  <c r="J35" i="1" l="1"/>
  <c r="D28" i="1"/>
  <c r="E28" i="1"/>
  <c r="F28" i="1"/>
  <c r="H28" i="1"/>
  <c r="I28" i="1"/>
  <c r="J28" i="1"/>
  <c r="L28" i="1"/>
  <c r="M28" i="1"/>
  <c r="N28" i="1"/>
  <c r="P28" i="1"/>
  <c r="Q28" i="1"/>
  <c r="R35" i="1" l="1"/>
  <c r="N35" i="1"/>
  <c r="T35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49" i="1"/>
  <c r="I49" i="1" s="1"/>
  <c r="T58" i="1"/>
  <c r="U58" i="1" s="1"/>
  <c r="T57" i="1"/>
  <c r="U57" i="1" s="1"/>
  <c r="T56" i="1"/>
  <c r="U56" i="1" s="1"/>
  <c r="T55" i="1"/>
  <c r="U55" i="1" s="1"/>
  <c r="T54" i="1"/>
  <c r="U54" i="1" s="1"/>
  <c r="T53" i="1"/>
  <c r="U53" i="1" s="1"/>
  <c r="T52" i="1"/>
  <c r="U52" i="1" s="1"/>
  <c r="T51" i="1"/>
  <c r="U51" i="1" s="1"/>
  <c r="T50" i="1"/>
  <c r="U50" i="1" s="1"/>
  <c r="T49" i="1"/>
  <c r="U49" i="1" s="1"/>
  <c r="U14" i="1"/>
  <c r="U15" i="1"/>
  <c r="U16" i="1"/>
  <c r="U17" i="1"/>
  <c r="U18" i="1"/>
  <c r="U19" i="1"/>
  <c r="U20" i="1"/>
  <c r="U21" i="1"/>
  <c r="U22" i="1"/>
  <c r="U13" i="1"/>
  <c r="T25" i="1"/>
  <c r="B34" i="1" s="1"/>
  <c r="P37" i="1" s="1"/>
  <c r="G18" i="1"/>
  <c r="G19" i="1"/>
  <c r="G20" i="1"/>
  <c r="G21" i="1"/>
  <c r="G22" i="1"/>
  <c r="J36" i="1" l="1"/>
  <c r="J58" i="1"/>
  <c r="J49" i="1"/>
  <c r="J57" i="1"/>
  <c r="J56" i="1"/>
  <c r="J55" i="1"/>
  <c r="J53" i="1"/>
  <c r="V56" i="1"/>
  <c r="J54" i="1"/>
  <c r="V55" i="1"/>
  <c r="V54" i="1"/>
  <c r="V49" i="1"/>
  <c r="J51" i="1"/>
  <c r="V52" i="1"/>
  <c r="V50" i="1"/>
  <c r="J52" i="1"/>
  <c r="J50" i="1"/>
  <c r="V53" i="1"/>
  <c r="V51" i="1"/>
  <c r="V58" i="1"/>
  <c r="V57" i="1"/>
  <c r="I60" i="1"/>
  <c r="U60" i="1"/>
  <c r="R22" i="1"/>
  <c r="R21" i="1"/>
  <c r="R20" i="1"/>
  <c r="R19" i="1"/>
  <c r="R18" i="1"/>
  <c r="N36" i="1" l="1"/>
  <c r="T36" i="1" s="1"/>
  <c r="R23" i="1"/>
  <c r="R27" i="1" s="1"/>
  <c r="R28" i="1" s="1"/>
  <c r="C18" i="1" l="1"/>
  <c r="C19" i="1"/>
  <c r="C20" i="1"/>
  <c r="C21" i="1"/>
  <c r="C22" i="1"/>
  <c r="C23" i="1" l="1"/>
  <c r="C27" i="1" s="1"/>
  <c r="K18" i="1"/>
  <c r="O18" i="1"/>
  <c r="K19" i="1"/>
  <c r="O19" i="1"/>
  <c r="K20" i="1"/>
  <c r="O20" i="1"/>
  <c r="K21" i="1"/>
  <c r="O21" i="1"/>
  <c r="K22" i="1"/>
  <c r="O22" i="1"/>
  <c r="C28" i="1" l="1"/>
  <c r="K23" i="1"/>
  <c r="K27" i="1" s="1"/>
  <c r="K28" i="1" s="1"/>
  <c r="O23" i="1"/>
  <c r="O27" i="1" s="1"/>
  <c r="O28" i="1" s="1"/>
  <c r="G23" i="1" l="1"/>
  <c r="G27" i="1" s="1"/>
  <c r="T27" i="1" s="1"/>
  <c r="B35" i="1" s="1"/>
  <c r="G28" i="1" l="1"/>
  <c r="S37" i="1"/>
  <c r="L37" i="1" s="1"/>
  <c r="T23" i="1"/>
  <c r="B36" i="1" l="1"/>
  <c r="I61" i="1" s="1"/>
  <c r="U61" i="1" l="1"/>
  <c r="T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<sst xmlns="http://schemas.openxmlformats.org/spreadsheetml/2006/main" count="64" uniqueCount="48">
  <si>
    <t>ONLY DATA ENTER BROWN CELLS ONLY</t>
  </si>
  <si>
    <r>
      <t>ENTER TODAY '</t>
    </r>
    <r>
      <rPr>
        <b/>
        <sz val="16"/>
        <color theme="1"/>
        <rFont val="Calibri"/>
        <family val="2"/>
        <scheme val="minor"/>
      </rPr>
      <t>BANKED</t>
    </r>
    <r>
      <rPr>
        <sz val="16"/>
        <color theme="1"/>
        <rFont val="Calibri"/>
        <family val="2"/>
        <scheme val="minor"/>
      </rPr>
      <t xml:space="preserve">' (YES/NO) </t>
    </r>
  </si>
  <si>
    <t>=</t>
  </si>
  <si>
    <r>
      <t xml:space="preserve">PREVIOUS DAY </t>
    </r>
    <r>
      <rPr>
        <b/>
        <sz val="16"/>
        <color theme="1"/>
        <rFont val="Calibri"/>
        <family val="2"/>
        <scheme val="minor"/>
      </rPr>
      <t>'DAY END TOTAL'</t>
    </r>
  </si>
  <si>
    <t>FLOAT</t>
  </si>
  <si>
    <t>KEERTHANA</t>
  </si>
  <si>
    <t>SAJANI</t>
  </si>
  <si>
    <t>DASUN (SONURAD)</t>
  </si>
  <si>
    <t>THILINI (GEETHAS)</t>
  </si>
  <si>
    <t>TOTAL PIECES COUNT</t>
  </si>
  <si>
    <t xml:space="preserve"> </t>
  </si>
  <si>
    <t>PHYSICAL CASH</t>
  </si>
  <si>
    <t>SYSTEM CASH</t>
  </si>
  <si>
    <t xml:space="preserve">                                                                                                                                                                              </t>
  </si>
  <si>
    <t>EXESS/SHORT</t>
  </si>
  <si>
    <t>SHORT PAID OR NOT</t>
  </si>
  <si>
    <t>CASH BANK DEPOSITE</t>
  </si>
  <si>
    <t>SAFE BOOK</t>
  </si>
  <si>
    <t>COMMERCIAL</t>
  </si>
  <si>
    <r>
      <t>CHECK THIS USING '</t>
    </r>
    <r>
      <rPr>
        <b/>
        <sz val="11"/>
        <color theme="1"/>
        <rFont val="Calibri"/>
        <family val="2"/>
        <scheme val="minor"/>
      </rPr>
      <t>DAY END SUMMARY</t>
    </r>
    <r>
      <rPr>
        <sz val="11"/>
        <color theme="1"/>
        <rFont val="Calibri"/>
        <family val="2"/>
        <scheme val="minor"/>
      </rPr>
      <t>'</t>
    </r>
  </si>
  <si>
    <t>SM CC</t>
  </si>
  <si>
    <t>OPENING BALANCE</t>
  </si>
  <si>
    <t>CASH IN</t>
  </si>
  <si>
    <t>CASH OUT</t>
  </si>
  <si>
    <t>FLOT</t>
  </si>
  <si>
    <t>EXCESS</t>
  </si>
  <si>
    <t>TOTAL</t>
  </si>
  <si>
    <t>BANKING</t>
  </si>
  <si>
    <t>DAY END</t>
  </si>
  <si>
    <t>ENTER THIS TO 'NEXT DAY'</t>
  </si>
  <si>
    <t>CASH BANK CALCULATOR</t>
  </si>
  <si>
    <t>CALCULATOR 1</t>
  </si>
  <si>
    <t>CALCULATOR 2</t>
  </si>
  <si>
    <t>PIECES COUNTING</t>
  </si>
  <si>
    <t>FULL PIECES COUNT</t>
  </si>
  <si>
    <t>DIF. PIECES</t>
  </si>
  <si>
    <t>FULL PIECE COUNT</t>
  </si>
  <si>
    <t>DIF.PIECES</t>
  </si>
  <si>
    <t>FULL TOTAL</t>
  </si>
  <si>
    <t>DEFFERENCE BETWEEN 'CASH BANK DEPOSITE'</t>
  </si>
  <si>
    <t>DATE</t>
  </si>
  <si>
    <t>NEW MEMBER</t>
  </si>
  <si>
    <t>FLOT OUT</t>
  </si>
  <si>
    <t>PREVIOUS DAY 'OTHER INCOME'</t>
  </si>
  <si>
    <r>
      <t>OTHER INCOME '</t>
    </r>
    <r>
      <rPr>
        <b/>
        <sz val="16"/>
        <color theme="1"/>
        <rFont val="Calibri"/>
        <family val="2"/>
        <scheme val="minor"/>
      </rPr>
      <t>BANKED</t>
    </r>
    <r>
      <rPr>
        <sz val="16"/>
        <color theme="1"/>
        <rFont val="Calibri"/>
        <family val="2"/>
        <scheme val="minor"/>
      </rPr>
      <t>' (YES/NO)</t>
    </r>
  </si>
  <si>
    <t>NO</t>
  </si>
  <si>
    <t>CREDIT CUSTOMER MONEY VALUE</t>
  </si>
  <si>
    <t>NEW OTHER INCOMES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</si>
</sst>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2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7"/>
      <color rgb="FF000000"/>
      <name val="Georgia"/>
      <family val="1"/>
    </font>
    <font>
      <b/>
      <sz val="16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B0F0"/>
      </left>
      <right/>
      <top/>
      <bottom/>
      <diagonal/>
    </border>
    <border>
      <left/>
      <right/>
      <top/>
      <bottom style="double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77111117893"/>
      </left>
      <right/>
      <top style="medium">
        <color theme="3" tint="-0.249977111117893"/>
      </top>
      <bottom/>
      <diagonal/>
    </border>
    <border>
      <left/>
      <right style="medium">
        <color theme="3" tint="-0.249977111117893"/>
      </right>
      <top style="medium">
        <color theme="3" tint="-0.249977111117893"/>
      </top>
      <bottom/>
      <diagonal/>
    </border>
    <border>
      <left style="medium">
        <color theme="3" tint="-0.249977111117893"/>
      </left>
      <right/>
      <top/>
      <bottom style="medium">
        <color theme="3" tint="-0.249977111117893"/>
      </bottom>
      <diagonal/>
    </border>
    <border>
      <left/>
      <right style="medium">
        <color theme="3" tint="-0.249977111117893"/>
      </right>
      <top/>
      <bottom style="medium">
        <color theme="3" tint="-0.249977111117893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74">
    <xf numFmtId="0" fontId="0" fillId="0" borderId="0" xfId="0"/>
    <xf numFmtId="4" fontId="0" fillId="0" borderId="0" xfId="0" applyNumberFormat="1"/>
    <xf numFmtId="0" fontId="0" fillId="3" borderId="1" xfId="0" applyFill="1" applyBorder="1"/>
    <xf numFmtId="0" fontId="0" fillId="0" borderId="0" xfId="0" applyAlignment="1">
      <alignment horizontal="center"/>
    </xf>
    <xf numFmtId="0" fontId="4" fillId="0" borderId="1" xfId="0" applyFont="1" applyBorder="1"/>
    <xf numFmtId="0" fontId="0" fillId="3" borderId="1" xfId="0" quotePrefix="1" applyFill="1" applyBorder="1"/>
    <xf numFmtId="0" fontId="0" fillId="3" borderId="1" xfId="1" applyNumberFormat="1" applyFont="1" applyFill="1" applyBorder="1"/>
    <xf numFmtId="0" fontId="4" fillId="0" borderId="0" xfId="0" applyFont="1"/>
    <xf numFmtId="43" fontId="0" fillId="0" borderId="0" xfId="1" applyFont="1"/>
    <xf numFmtId="0" fontId="0" fillId="0" borderId="4" xfId="0" applyBorder="1"/>
    <xf numFmtId="0" fontId="3" fillId="0" borderId="0" xfId="0" applyFont="1"/>
    <xf numFmtId="0" fontId="2" fillId="0" borderId="0" xfId="0" applyFont="1"/>
    <xf numFmtId="0" fontId="0" fillId="6" borderId="1" xfId="0" applyFill="1" applyBorder="1"/>
    <xf numFmtId="0" fontId="9" fillId="0" borderId="0" xfId="0" applyFont="1"/>
    <xf numFmtId="0" fontId="0" fillId="4" borderId="9" xfId="0" applyFill="1" applyBorder="1"/>
    <xf numFmtId="0" fontId="0" fillId="4" borderId="0" xfId="0" applyFill="1"/>
    <xf numFmtId="0" fontId="9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0" xfId="0" applyAlignment="1">
      <alignment horizontal="right"/>
    </xf>
    <xf numFmtId="0" fontId="0" fillId="8" borderId="1" xfId="0" applyFill="1" applyBorder="1"/>
    <xf numFmtId="0" fontId="0" fillId="8" borderId="2" xfId="0" applyFill="1" applyBorder="1"/>
    <xf numFmtId="0" fontId="10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4" fontId="0" fillId="3" borderId="5" xfId="0" applyNumberFormat="1" applyFill="1" applyBorder="1"/>
    <xf numFmtId="4" fontId="1" fillId="3" borderId="5" xfId="0" applyNumberFormat="1" applyFont="1" applyFill="1" applyBorder="1"/>
    <xf numFmtId="4" fontId="0" fillId="7" borderId="11" xfId="0" applyNumberFormat="1" applyFill="1" applyBorder="1" applyAlignment="1">
      <alignment horizontal="right"/>
    </xf>
    <xf numFmtId="4" fontId="0" fillId="4" borderId="9" xfId="0" applyNumberFormat="1" applyFill="1" applyBorder="1"/>
    <xf numFmtId="4" fontId="0" fillId="4" borderId="0" xfId="0" applyNumberFormat="1" applyFill="1"/>
    <xf numFmtId="4" fontId="4" fillId="0" borderId="0" xfId="0" applyNumberFormat="1" applyFont="1" applyAlignment="1">
      <alignment horizontal="center"/>
    </xf>
    <xf numFmtId="4" fontId="0" fillId="7" borderId="11" xfId="0" applyNumberFormat="1" applyFill="1" applyBorder="1"/>
    <xf numFmtId="4" fontId="0" fillId="0" borderId="0" xfId="0" applyNumberFormat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3" fillId="9" borderId="16" xfId="0" applyFont="1" applyFill="1" applyBorder="1" applyAlignment="1">
      <alignment horizontal="center" vertical="center" wrapText="1"/>
    </xf>
    <xf numFmtId="0" fontId="13" fillId="9" borderId="17" xfId="0" applyFont="1" applyFill="1" applyBorder="1" applyAlignment="1">
      <alignment horizontal="center" vertical="center" wrapText="1"/>
    </xf>
    <xf numFmtId="0" fontId="13" fillId="9" borderId="18" xfId="0" applyFont="1" applyFill="1" applyBorder="1" applyAlignment="1">
      <alignment horizontal="center" vertical="center" wrapText="1"/>
    </xf>
    <xf numFmtId="0" fontId="13" fillId="9" borderId="19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" fontId="3" fillId="0" borderId="1" xfId="0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wrapText="1"/>
    </xf>
    <xf numFmtId="4" fontId="3" fillId="8" borderId="5" xfId="0" applyNumberFormat="1" applyFont="1" applyFill="1" applyBorder="1" applyAlignment="1">
      <alignment horizontal="center"/>
    </xf>
    <xf numFmtId="2" fontId="3" fillId="8" borderId="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1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1" fillId="0" borderId="0" xfId="0" applyFont="1"/>
    <xf numFmtId="0" fontId="16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 tint="-4.9989318521683403E-2"/>
      </font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56031</xdr:colOff>
      <xdr:row>32</xdr:row>
      <xdr:rowOff>56029</xdr:rowOff>
    </xdr:from>
    <xdr:to>
      <xdr:col>6</xdr:col>
      <xdr:colOff>212912</xdr:colOff>
      <xdr:row>33</xdr:row>
      <xdr:rowOff>145676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rot="10800000" flipV="1">
          <a:off x="3160060" y="6331323"/>
          <a:ext cx="1367117" cy="280147"/>
        </a:xfrm>
        <a:prstGeom prst="curvedConnector3">
          <a:avLst>
            <a:gd name="adj1" fmla="val -655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37</xdr:row>
      <xdr:rowOff>47625</xdr:rowOff>
    </xdr:from>
    <xdr:to>
      <xdr:col>20</xdr:col>
      <xdr:colOff>771525</xdr:colOff>
      <xdr:row>38</xdr:row>
      <xdr:rowOff>133350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99CEA145-718F-54A2-C10E-9D048FB5E9C4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SpPr/>
      </xdr:nvSpPr>
      <xdr:spPr>
        <a:xfrm rot="5369030">
          <a:off x="13887450" y="6715125"/>
          <a:ext cx="276225" cy="1571625"/>
        </a:xfrm>
        <a:prstGeom prst="rightBrac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7</xdr:row>
          <xdr:rowOff>7620</xdr:rowOff>
        </xdr:from>
        <xdr:to>
          <xdr:col>7</xdr:col>
          <xdr:colOff>632460</xdr:colOff>
          <xdr:row>8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700" b="0" i="0" u="none" strike="noStrike" baseline="0">
                  <a:solidFill>
                    <a:srgbClr val="000000"/>
                  </a:solidFill>
                  <a:latin typeface="Georgia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1"/>
  <sheetViews>
    <sheetView tabSelected="1" zoomScale="85" zoomScaleNormal="85" workbookViewId="0">
      <selection activeCell="P5" sqref="P5"/>
    </sheetView>
  </sheetViews>
  <sheetFormatPr defaultRowHeight="14.4" x14ac:dyDescent="0.3"/>
  <cols>
    <col min="1" max="1" width="19.33203125" customWidth="1"/>
    <col min="7" max="7" width="11.5546875" bestFit="1" customWidth="1"/>
    <col min="8" max="8" width="9.109375" customWidth="1"/>
    <col min="9" max="9" width="14.109375" customWidth="1"/>
    <col min="10" max="10" width="8.6640625" customWidth="1"/>
    <col min="11" max="11" width="10.5546875" bestFit="1" customWidth="1"/>
    <col min="12" max="12" width="8.88671875" customWidth="1"/>
    <col min="16" max="16" width="12" customWidth="1"/>
    <col min="17" max="17" width="9.109375" customWidth="1"/>
    <col min="18" max="18" width="11.6640625" customWidth="1"/>
    <col min="19" max="19" width="10.109375" customWidth="1"/>
    <col min="20" max="20" width="12.109375" customWidth="1"/>
    <col min="21" max="21" width="11.6640625" bestFit="1" customWidth="1"/>
  </cols>
  <sheetData>
    <row r="1" spans="1:22" ht="21" customHeight="1" x14ac:dyDescent="0.4">
      <c r="E1" s="10"/>
      <c r="F1" s="10"/>
      <c r="G1" s="62" t="s">
        <v>0</v>
      </c>
      <c r="H1" s="62"/>
      <c r="I1" s="62"/>
      <c r="J1" s="62"/>
      <c r="K1" s="62"/>
      <c r="L1" s="62"/>
      <c r="M1" s="62"/>
      <c r="N1" s="62"/>
      <c r="O1" s="62"/>
      <c r="P1" s="62"/>
    </row>
    <row r="2" spans="1:22" ht="21" customHeight="1" x14ac:dyDescent="0.3">
      <c r="L2" s="21"/>
      <c r="M2" s="21"/>
      <c r="N2" s="21"/>
      <c r="O2" s="21"/>
      <c r="P2" s="21"/>
    </row>
    <row r="3" spans="1:22" ht="21" customHeight="1" x14ac:dyDescent="0.4">
      <c r="A3" s="63" t="s">
        <v>40</v>
      </c>
      <c r="B3" s="68"/>
      <c r="C3" s="68"/>
      <c r="D3" s="68"/>
      <c r="E3" s="68"/>
      <c r="F3" s="68"/>
      <c r="G3" s="68"/>
      <c r="H3" s="10" t="s">
        <v>2</v>
      </c>
      <c r="I3" s="69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Shift End TEMPLATE</v>
      </c>
      <c r="J3" s="69"/>
      <c r="K3" s="69"/>
      <c r="L3" s="21"/>
      <c r="M3" s="21"/>
      <c r="N3" s="21"/>
      <c r="O3" s="21"/>
      <c r="P3" s="21"/>
    </row>
    <row r="4" spans="1:22" ht="21" customHeight="1" x14ac:dyDescent="0.4">
      <c r="A4" s="63" t="s">
        <v>1</v>
      </c>
      <c r="B4" s="63"/>
      <c r="C4" s="63"/>
      <c r="D4" s="63"/>
      <c r="E4" s="63"/>
      <c r="F4" s="63"/>
      <c r="G4" s="63"/>
      <c r="H4" s="10" t="s">
        <v>2</v>
      </c>
      <c r="I4" s="67" t="e">
        <f ca="1">IF(OR(TEXT(DATEVALUE(SUBSTITUTE(I3,".","/")),"ddd")={"Sat","Sun"}), "NO", "YES")</f>
        <v>#VALUE!</v>
      </c>
      <c r="J4" s="67"/>
      <c r="K4" s="67"/>
      <c r="L4" s="21"/>
      <c r="M4" s="21"/>
      <c r="N4" s="21"/>
      <c r="O4" s="70" t="s">
        <v>47</v>
      </c>
      <c r="P4" s="70"/>
      <c r="Q4" s="70"/>
      <c r="R4" s="70"/>
      <c r="S4" s="71" t="s">
        <v>2</v>
      </c>
      <c r="T4" s="72"/>
      <c r="U4" s="72"/>
    </row>
    <row r="5" spans="1:22" ht="21" customHeight="1" x14ac:dyDescent="0.4">
      <c r="A5" s="63" t="s">
        <v>44</v>
      </c>
      <c r="B5" s="63"/>
      <c r="C5" s="63"/>
      <c r="D5" s="63"/>
      <c r="E5" s="63"/>
      <c r="F5" s="63"/>
      <c r="G5" s="63"/>
      <c r="H5" s="10" t="s">
        <v>2</v>
      </c>
      <c r="I5" s="67" t="s">
        <v>45</v>
      </c>
      <c r="J5" s="67"/>
      <c r="K5" s="67"/>
      <c r="L5" s="21"/>
      <c r="M5" s="21"/>
      <c r="N5" s="21"/>
      <c r="O5" s="21"/>
      <c r="P5" s="21"/>
      <c r="T5" s="73"/>
      <c r="U5" s="73"/>
    </row>
    <row r="6" spans="1:22" ht="21" customHeight="1" x14ac:dyDescent="0.4">
      <c r="A6" s="63" t="s">
        <v>46</v>
      </c>
      <c r="B6" s="63"/>
      <c r="C6" s="63"/>
      <c r="D6" s="63"/>
      <c r="E6" s="63"/>
      <c r="F6" s="63"/>
      <c r="G6" s="63"/>
      <c r="H6" s="10" t="s">
        <v>2</v>
      </c>
      <c r="I6" s="67"/>
      <c r="J6" s="67"/>
      <c r="K6" s="67"/>
      <c r="L6" s="21"/>
      <c r="M6" s="21"/>
      <c r="N6" s="21"/>
      <c r="O6" s="21"/>
      <c r="P6" s="21"/>
      <c r="T6" s="73"/>
      <c r="U6" s="73"/>
    </row>
    <row r="7" spans="1:22" ht="21" customHeight="1" x14ac:dyDescent="0.4">
      <c r="A7" s="63" t="s">
        <v>43</v>
      </c>
      <c r="B7" s="63"/>
      <c r="C7" s="63"/>
      <c r="D7" s="63"/>
      <c r="E7" s="63"/>
      <c r="F7" s="63"/>
      <c r="G7" s="63"/>
      <c r="H7" s="10" t="s">
        <v>2</v>
      </c>
      <c r="I7" s="67"/>
      <c r="J7" s="67"/>
      <c r="K7" s="67"/>
      <c r="L7" s="21"/>
      <c r="M7" s="21"/>
      <c r="N7" s="21"/>
      <c r="O7" s="21"/>
      <c r="P7" s="21"/>
      <c r="T7" s="73"/>
      <c r="U7" s="73"/>
    </row>
    <row r="8" spans="1:22" ht="21" customHeight="1" x14ac:dyDescent="0.4">
      <c r="A8" s="63" t="s">
        <v>3</v>
      </c>
      <c r="B8" s="63"/>
      <c r="C8" s="63"/>
      <c r="D8" s="63"/>
      <c r="E8" s="63"/>
      <c r="F8" s="63"/>
      <c r="G8" s="63"/>
      <c r="H8" s="10" t="s">
        <v>2</v>
      </c>
      <c r="I8" s="66" t="e" cm="1">
        <f t="array" aca="1" ref="I8" ca="1">INDIRECT("'[" &amp; TEXT(DATEVALUE(SUBSTITUTE(I3,".","-"))-1,"yyyy.mm.dd") &amp; ".xlsx]Sheet1'!B1")</f>
        <v>#VALUE!</v>
      </c>
      <c r="J8" s="66"/>
      <c r="K8" s="66"/>
      <c r="L8" s="21"/>
      <c r="M8" s="21"/>
      <c r="N8" s="21"/>
      <c r="O8" s="21"/>
      <c r="P8" s="21"/>
    </row>
    <row r="9" spans="1:22" ht="21" customHeight="1" x14ac:dyDescent="0.4">
      <c r="A9" s="50" t="s">
        <v>4</v>
      </c>
      <c r="B9" s="50"/>
      <c r="C9" s="50"/>
      <c r="D9" s="50"/>
      <c r="E9" s="50"/>
      <c r="F9" s="50"/>
      <c r="G9" s="50"/>
      <c r="H9" s="10" t="s">
        <v>2</v>
      </c>
      <c r="I9" s="66">
        <v>30000</v>
      </c>
      <c r="J9" s="66"/>
      <c r="K9" s="66"/>
      <c r="L9" s="21"/>
      <c r="M9" s="21"/>
      <c r="N9" s="21"/>
      <c r="O9" s="21"/>
      <c r="P9" s="21"/>
    </row>
    <row r="10" spans="1:22" ht="21" customHeight="1" x14ac:dyDescent="0.3"/>
    <row r="11" spans="1:22" ht="15" customHeight="1" x14ac:dyDescent="0.3">
      <c r="A11" s="39" t="s">
        <v>5</v>
      </c>
      <c r="B11" s="39"/>
      <c r="C11" s="39"/>
      <c r="E11" s="39" t="s">
        <v>6</v>
      </c>
      <c r="F11" s="39"/>
      <c r="G11" s="39"/>
      <c r="I11" s="39" t="s">
        <v>7</v>
      </c>
      <c r="J11" s="39"/>
      <c r="K11" s="39"/>
      <c r="M11" s="39" t="s">
        <v>8</v>
      </c>
      <c r="N11" s="39"/>
      <c r="O11" s="39"/>
      <c r="P11" s="3"/>
      <c r="Q11" s="7" t="s">
        <v>41</v>
      </c>
      <c r="U11" s="39" t="s">
        <v>9</v>
      </c>
      <c r="V11" s="39"/>
    </row>
    <row r="13" spans="1:22" x14ac:dyDescent="0.3">
      <c r="A13">
        <v>5000</v>
      </c>
      <c r="B13" s="2"/>
      <c r="C13">
        <f>A13*B13</f>
        <v>0</v>
      </c>
      <c r="E13">
        <v>5000</v>
      </c>
      <c r="F13" s="2"/>
      <c r="G13">
        <f>E13*F13</f>
        <v>0</v>
      </c>
      <c r="I13">
        <v>5000</v>
      </c>
      <c r="J13" s="2"/>
      <c r="K13">
        <f>I13*J13</f>
        <v>0</v>
      </c>
      <c r="L13" t="s">
        <v>10</v>
      </c>
      <c r="M13">
        <v>5000</v>
      </c>
      <c r="N13" s="2"/>
      <c r="O13">
        <f>M13*N13</f>
        <v>0</v>
      </c>
      <c r="P13">
        <v>5000</v>
      </c>
      <c r="Q13" s="2"/>
      <c r="R13">
        <f>P13*Q13</f>
        <v>0</v>
      </c>
      <c r="T13" s="8"/>
      <c r="U13" s="12">
        <f>B13+F13+J13+N13+Q13</f>
        <v>0</v>
      </c>
    </row>
    <row r="14" spans="1:22" x14ac:dyDescent="0.3">
      <c r="A14">
        <v>1000</v>
      </c>
      <c r="B14" s="5"/>
      <c r="C14">
        <f t="shared" ref="C14:C22" si="0">A14*B14</f>
        <v>0</v>
      </c>
      <c r="E14">
        <v>1000</v>
      </c>
      <c r="F14" s="2"/>
      <c r="G14">
        <f t="shared" ref="G14:G22" si="1">E14*F14</f>
        <v>0</v>
      </c>
      <c r="I14">
        <v>1000</v>
      </c>
      <c r="J14" s="2"/>
      <c r="K14">
        <f t="shared" ref="K14:K22" si="2">I14*J14</f>
        <v>0</v>
      </c>
      <c r="M14">
        <v>1000</v>
      </c>
      <c r="N14" s="2"/>
      <c r="O14">
        <f t="shared" ref="O14:O22" si="3">M14*N14</f>
        <v>0</v>
      </c>
      <c r="P14">
        <v>1000</v>
      </c>
      <c r="Q14" s="2"/>
      <c r="R14">
        <f t="shared" ref="R14:R22" si="4">P14*Q14</f>
        <v>0</v>
      </c>
      <c r="T14" s="8"/>
      <c r="U14" s="12">
        <f t="shared" ref="U14:U22" si="5">B14+F14+J14+N14+Q14</f>
        <v>0</v>
      </c>
    </row>
    <row r="15" spans="1:22" x14ac:dyDescent="0.3">
      <c r="A15">
        <v>500</v>
      </c>
      <c r="B15" s="2"/>
      <c r="C15">
        <f t="shared" si="0"/>
        <v>0</v>
      </c>
      <c r="E15">
        <v>500</v>
      </c>
      <c r="F15" s="2"/>
      <c r="G15">
        <f t="shared" si="1"/>
        <v>0</v>
      </c>
      <c r="I15">
        <v>500</v>
      </c>
      <c r="J15" s="2"/>
      <c r="K15">
        <f t="shared" si="2"/>
        <v>0</v>
      </c>
      <c r="M15">
        <v>500</v>
      </c>
      <c r="N15" s="2"/>
      <c r="O15">
        <f t="shared" si="3"/>
        <v>0</v>
      </c>
      <c r="P15">
        <v>500</v>
      </c>
      <c r="Q15" s="2"/>
      <c r="R15">
        <f t="shared" si="4"/>
        <v>0</v>
      </c>
      <c r="T15" s="8"/>
      <c r="U15" s="12">
        <f t="shared" si="5"/>
        <v>0</v>
      </c>
    </row>
    <row r="16" spans="1:22" x14ac:dyDescent="0.3">
      <c r="A16">
        <v>100</v>
      </c>
      <c r="B16" s="2"/>
      <c r="C16">
        <f t="shared" si="0"/>
        <v>0</v>
      </c>
      <c r="E16">
        <v>100</v>
      </c>
      <c r="F16" s="2"/>
      <c r="G16">
        <f t="shared" si="1"/>
        <v>0</v>
      </c>
      <c r="I16">
        <v>100</v>
      </c>
      <c r="J16" s="2"/>
      <c r="K16">
        <f t="shared" si="2"/>
        <v>0</v>
      </c>
      <c r="M16">
        <v>100</v>
      </c>
      <c r="N16" s="2"/>
      <c r="O16">
        <f t="shared" si="3"/>
        <v>0</v>
      </c>
      <c r="P16">
        <v>100</v>
      </c>
      <c r="Q16" s="2"/>
      <c r="R16">
        <f t="shared" si="4"/>
        <v>0</v>
      </c>
      <c r="T16" s="8"/>
      <c r="U16" s="12">
        <f t="shared" si="5"/>
        <v>0</v>
      </c>
    </row>
    <row r="17" spans="1:21" x14ac:dyDescent="0.3">
      <c r="A17">
        <v>50</v>
      </c>
      <c r="B17" s="2"/>
      <c r="C17">
        <f t="shared" si="0"/>
        <v>0</v>
      </c>
      <c r="E17">
        <v>50</v>
      </c>
      <c r="F17" s="2"/>
      <c r="G17">
        <f t="shared" si="1"/>
        <v>0</v>
      </c>
      <c r="I17">
        <v>50</v>
      </c>
      <c r="J17" s="2"/>
      <c r="K17">
        <f t="shared" si="2"/>
        <v>0</v>
      </c>
      <c r="M17">
        <v>50</v>
      </c>
      <c r="N17" s="2"/>
      <c r="O17">
        <f t="shared" si="3"/>
        <v>0</v>
      </c>
      <c r="P17">
        <v>50</v>
      </c>
      <c r="Q17" s="2"/>
      <c r="R17">
        <f t="shared" si="4"/>
        <v>0</v>
      </c>
      <c r="T17" s="8"/>
      <c r="U17" s="12">
        <f t="shared" si="5"/>
        <v>0</v>
      </c>
    </row>
    <row r="18" spans="1:21" x14ac:dyDescent="0.3">
      <c r="A18">
        <v>20</v>
      </c>
      <c r="B18" s="2"/>
      <c r="C18">
        <f t="shared" si="0"/>
        <v>0</v>
      </c>
      <c r="E18">
        <v>20</v>
      </c>
      <c r="F18" s="2"/>
      <c r="G18">
        <f t="shared" si="1"/>
        <v>0</v>
      </c>
      <c r="I18">
        <v>20</v>
      </c>
      <c r="J18" s="2"/>
      <c r="K18">
        <f t="shared" si="2"/>
        <v>0</v>
      </c>
      <c r="M18">
        <v>20</v>
      </c>
      <c r="N18" s="2"/>
      <c r="O18">
        <f t="shared" si="3"/>
        <v>0</v>
      </c>
      <c r="P18">
        <v>20</v>
      </c>
      <c r="Q18" s="2"/>
      <c r="R18">
        <f t="shared" si="4"/>
        <v>0</v>
      </c>
      <c r="T18" s="8"/>
      <c r="U18" s="12">
        <f t="shared" si="5"/>
        <v>0</v>
      </c>
    </row>
    <row r="19" spans="1:21" x14ac:dyDescent="0.3">
      <c r="A19">
        <v>10</v>
      </c>
      <c r="B19" s="2"/>
      <c r="C19">
        <f t="shared" si="0"/>
        <v>0</v>
      </c>
      <c r="E19">
        <v>10</v>
      </c>
      <c r="F19" s="2"/>
      <c r="G19">
        <f t="shared" si="1"/>
        <v>0</v>
      </c>
      <c r="I19">
        <v>10</v>
      </c>
      <c r="J19" s="2"/>
      <c r="K19">
        <f t="shared" si="2"/>
        <v>0</v>
      </c>
      <c r="M19">
        <v>10</v>
      </c>
      <c r="N19" s="2"/>
      <c r="O19">
        <f t="shared" si="3"/>
        <v>0</v>
      </c>
      <c r="P19">
        <v>10</v>
      </c>
      <c r="Q19" s="2"/>
      <c r="R19">
        <f t="shared" si="4"/>
        <v>0</v>
      </c>
      <c r="T19" s="8"/>
      <c r="U19" s="12">
        <f t="shared" si="5"/>
        <v>0</v>
      </c>
    </row>
    <row r="20" spans="1:21" x14ac:dyDescent="0.3">
      <c r="A20">
        <v>5</v>
      </c>
      <c r="B20" s="2"/>
      <c r="C20">
        <f t="shared" si="0"/>
        <v>0</v>
      </c>
      <c r="E20">
        <v>5</v>
      </c>
      <c r="F20" s="2"/>
      <c r="G20">
        <f t="shared" si="1"/>
        <v>0</v>
      </c>
      <c r="I20">
        <v>5</v>
      </c>
      <c r="J20" s="2"/>
      <c r="K20">
        <f t="shared" si="2"/>
        <v>0</v>
      </c>
      <c r="M20">
        <v>5</v>
      </c>
      <c r="N20" s="2"/>
      <c r="O20">
        <f t="shared" si="3"/>
        <v>0</v>
      </c>
      <c r="P20">
        <v>5</v>
      </c>
      <c r="Q20" s="2"/>
      <c r="R20">
        <f t="shared" si="4"/>
        <v>0</v>
      </c>
      <c r="T20" s="8"/>
      <c r="U20" s="12">
        <f t="shared" si="5"/>
        <v>0</v>
      </c>
    </row>
    <row r="21" spans="1:21" x14ac:dyDescent="0.3">
      <c r="A21">
        <v>2</v>
      </c>
      <c r="B21" s="2"/>
      <c r="C21">
        <f t="shared" si="0"/>
        <v>0</v>
      </c>
      <c r="E21">
        <v>2</v>
      </c>
      <c r="F21" s="2"/>
      <c r="G21">
        <f t="shared" si="1"/>
        <v>0</v>
      </c>
      <c r="I21">
        <v>2</v>
      </c>
      <c r="J21" s="2"/>
      <c r="K21">
        <f t="shared" si="2"/>
        <v>0</v>
      </c>
      <c r="M21">
        <v>2</v>
      </c>
      <c r="N21" s="2"/>
      <c r="O21">
        <f t="shared" si="3"/>
        <v>0</v>
      </c>
      <c r="P21">
        <v>2</v>
      </c>
      <c r="Q21" s="2"/>
      <c r="R21">
        <f t="shared" si="4"/>
        <v>0</v>
      </c>
      <c r="T21" s="8"/>
      <c r="U21" s="12">
        <f t="shared" si="5"/>
        <v>0</v>
      </c>
    </row>
    <row r="22" spans="1:21" x14ac:dyDescent="0.3">
      <c r="A22">
        <v>1</v>
      </c>
      <c r="B22" s="6"/>
      <c r="C22">
        <f t="shared" si="0"/>
        <v>0</v>
      </c>
      <c r="E22">
        <v>1</v>
      </c>
      <c r="F22" s="2"/>
      <c r="G22">
        <f t="shared" si="1"/>
        <v>0</v>
      </c>
      <c r="I22">
        <v>1</v>
      </c>
      <c r="J22" s="2"/>
      <c r="K22">
        <f t="shared" si="2"/>
        <v>0</v>
      </c>
      <c r="M22">
        <v>1</v>
      </c>
      <c r="N22" s="2"/>
      <c r="O22">
        <f t="shared" si="3"/>
        <v>0</v>
      </c>
      <c r="P22">
        <v>1</v>
      </c>
      <c r="Q22" s="2"/>
      <c r="R22">
        <f t="shared" si="4"/>
        <v>0</v>
      </c>
      <c r="T22" s="8"/>
      <c r="U22" s="12">
        <f t="shared" si="5"/>
        <v>0</v>
      </c>
    </row>
    <row r="23" spans="1:21" x14ac:dyDescent="0.3">
      <c r="A23" t="s">
        <v>11</v>
      </c>
      <c r="C23" s="9">
        <f>SUM(C13:C22)</f>
        <v>0</v>
      </c>
      <c r="G23" s="9">
        <f>SUM(G13:G22)</f>
        <v>0</v>
      </c>
      <c r="K23" s="9">
        <f>SUM(K13:K22)</f>
        <v>0</v>
      </c>
      <c r="O23" s="9">
        <f>SUM(O13:O22)</f>
        <v>0</v>
      </c>
      <c r="R23" s="9">
        <f>SUM(R13:R22)</f>
        <v>0</v>
      </c>
      <c r="T23" s="8">
        <f>C23+G23+K23+O23+R23</f>
        <v>0</v>
      </c>
    </row>
    <row r="24" spans="1:21" x14ac:dyDescent="0.3">
      <c r="T24" s="8"/>
    </row>
    <row r="25" spans="1:21" x14ac:dyDescent="0.3">
      <c r="A25" t="s">
        <v>12</v>
      </c>
      <c r="C25" s="24"/>
      <c r="D25" s="1" t="s">
        <v>10</v>
      </c>
      <c r="E25" s="1"/>
      <c r="F25" s="1"/>
      <c r="G25" s="25"/>
      <c r="H25" s="1" t="s">
        <v>13</v>
      </c>
      <c r="I25" s="1"/>
      <c r="J25" s="1"/>
      <c r="K25" s="24"/>
      <c r="L25" s="1"/>
      <c r="M25" s="1"/>
      <c r="N25" s="1"/>
      <c r="O25" s="24"/>
      <c r="P25" s="1"/>
      <c r="Q25" s="1"/>
      <c r="R25" s="25"/>
      <c r="S25" s="1"/>
      <c r="T25" s="1">
        <f>C25+G25+K25+O25+R25</f>
        <v>0</v>
      </c>
    </row>
    <row r="26" spans="1:21" x14ac:dyDescent="0.3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1" x14ac:dyDescent="0.3">
      <c r="A27" t="s">
        <v>14</v>
      </c>
      <c r="C27" s="1">
        <f>C23-C25</f>
        <v>0</v>
      </c>
      <c r="D27" s="1"/>
      <c r="E27" s="1"/>
      <c r="F27" s="1"/>
      <c r="G27" s="1">
        <f>G23-G25</f>
        <v>0</v>
      </c>
      <c r="H27" s="1"/>
      <c r="I27" s="1"/>
      <c r="J27" s="1"/>
      <c r="K27" s="1">
        <f>K23-K25</f>
        <v>0</v>
      </c>
      <c r="L27" s="1"/>
      <c r="M27" s="1"/>
      <c r="N27" s="1"/>
      <c r="O27" s="1">
        <f>O23-O25</f>
        <v>0</v>
      </c>
      <c r="P27" s="1"/>
      <c r="Q27" s="1"/>
      <c r="R27" s="1">
        <f>R23-R25</f>
        <v>0</v>
      </c>
      <c r="S27" s="1"/>
      <c r="T27" s="1">
        <f>IF(0&lt;C27,C27,0) + IF(0&lt;G27,G27,0) + IF(0&lt;K27,K27,0) + IF(0&lt;O27,O27,0) + IF(0&lt;R27,R27,0)</f>
        <v>0</v>
      </c>
    </row>
    <row r="28" spans="1:21" x14ac:dyDescent="0.3">
      <c r="A28" t="s">
        <v>15</v>
      </c>
      <c r="C28" s="18" t="str">
        <f>IF(C27=0, " ", IF(C27&lt;0,"UNPAID"," "))</f>
        <v xml:space="preserve"> </v>
      </c>
      <c r="D28" s="18" t="str">
        <f t="shared" ref="D28:R28" si="6">IF(D27=0, " ", IF(D27&lt;0,"UNPAID"," "))</f>
        <v xml:space="preserve"> </v>
      </c>
      <c r="E28" s="18" t="str">
        <f t="shared" si="6"/>
        <v xml:space="preserve"> </v>
      </c>
      <c r="F28" s="18" t="str">
        <f t="shared" si="6"/>
        <v xml:space="preserve"> </v>
      </c>
      <c r="G28" s="18" t="str">
        <f t="shared" si="6"/>
        <v xml:space="preserve"> </v>
      </c>
      <c r="H28" s="18" t="str">
        <f t="shared" si="6"/>
        <v xml:space="preserve"> </v>
      </c>
      <c r="I28" s="18" t="str">
        <f t="shared" si="6"/>
        <v xml:space="preserve"> </v>
      </c>
      <c r="J28" s="18" t="str">
        <f t="shared" si="6"/>
        <v xml:space="preserve"> </v>
      </c>
      <c r="K28" s="18" t="str">
        <f t="shared" si="6"/>
        <v xml:space="preserve"> </v>
      </c>
      <c r="L28" s="18" t="str">
        <f t="shared" si="6"/>
        <v xml:space="preserve"> </v>
      </c>
      <c r="M28" s="18" t="str">
        <f t="shared" si="6"/>
        <v xml:space="preserve"> </v>
      </c>
      <c r="N28" s="18" t="str">
        <f t="shared" si="6"/>
        <v xml:space="preserve"> </v>
      </c>
      <c r="O28" s="18" t="str">
        <f t="shared" si="6"/>
        <v xml:space="preserve"> </v>
      </c>
      <c r="P28" s="18" t="str">
        <f t="shared" si="6"/>
        <v xml:space="preserve"> </v>
      </c>
      <c r="Q28" s="18" t="str">
        <f t="shared" si="6"/>
        <v xml:space="preserve"> </v>
      </c>
      <c r="R28" s="18" t="str">
        <f t="shared" si="6"/>
        <v xml:space="preserve"> </v>
      </c>
    </row>
    <row r="31" spans="1:21" ht="24.75" customHeight="1" thickBot="1" x14ac:dyDescent="0.7">
      <c r="A31" s="65" t="s">
        <v>16</v>
      </c>
      <c r="B31" s="65"/>
      <c r="C31" s="65"/>
      <c r="E31" s="11"/>
      <c r="F31" s="11"/>
      <c r="G31" s="11"/>
      <c r="J31" s="64" t="s">
        <v>17</v>
      </c>
      <c r="K31" s="64"/>
      <c r="L31" s="64"/>
      <c r="M31" s="64"/>
      <c r="N31" s="64"/>
      <c r="O31" s="64"/>
      <c r="P31" s="64"/>
      <c r="Q31" s="64"/>
      <c r="R31" s="64"/>
    </row>
    <row r="32" spans="1:21" ht="21" x14ac:dyDescent="0.4">
      <c r="A32" s="10" t="s">
        <v>18</v>
      </c>
      <c r="B32" s="50">
        <v>1000658994</v>
      </c>
      <c r="C32" s="50"/>
      <c r="E32" s="51" t="s">
        <v>19</v>
      </c>
      <c r="F32" s="52"/>
      <c r="G32" s="52"/>
      <c r="H32" s="53"/>
    </row>
    <row r="34" spans="1:22" ht="21.75" customHeight="1" x14ac:dyDescent="0.4">
      <c r="A34" s="23" t="s">
        <v>20</v>
      </c>
      <c r="B34" s="46">
        <f>IF(T25-INT(T25)&lt;0.5,INT(T25),ROUNDUP(T25,0))</f>
        <v>0</v>
      </c>
      <c r="C34" s="46"/>
      <c r="D34" s="46"/>
      <c r="J34" s="48" t="s">
        <v>21</v>
      </c>
      <c r="K34" s="49"/>
      <c r="L34" s="48" t="s">
        <v>22</v>
      </c>
      <c r="M34" s="49"/>
      <c r="N34" s="48" t="s">
        <v>23</v>
      </c>
      <c r="O34" s="49"/>
      <c r="P34" s="48" t="s">
        <v>20</v>
      </c>
      <c r="Q34" s="49"/>
      <c r="R34" s="4" t="s">
        <v>24</v>
      </c>
      <c r="S34" s="4" t="s">
        <v>25</v>
      </c>
      <c r="T34" s="48" t="s">
        <v>26</v>
      </c>
      <c r="U34" s="49"/>
    </row>
    <row r="35" spans="1:22" ht="21.75" customHeight="1" x14ac:dyDescent="0.4">
      <c r="A35" s="22" t="s">
        <v>25</v>
      </c>
      <c r="B35" s="46">
        <f>IF(T27-INT(T27)&lt;0.5,INT(T27),ROUNDUP(T27,0))</f>
        <v>0</v>
      </c>
      <c r="C35" s="46"/>
      <c r="D35" s="46"/>
      <c r="E35" s="36"/>
      <c r="F35" s="36"/>
      <c r="G35" s="36"/>
      <c r="I35" t="s">
        <v>42</v>
      </c>
      <c r="J35" s="44" t="e">
        <f ca="1">I8</f>
        <v>#VALUE!</v>
      </c>
      <c r="K35" s="45"/>
      <c r="L35" s="44"/>
      <c r="M35" s="45"/>
      <c r="N35" s="44">
        <f>I9</f>
        <v>30000</v>
      </c>
      <c r="O35" s="45"/>
      <c r="P35" s="44"/>
      <c r="Q35" s="45"/>
      <c r="R35" s="32">
        <f>I9</f>
        <v>30000</v>
      </c>
      <c r="S35" s="32"/>
      <c r="T35" s="44" t="e">
        <f ca="1">J35+L35-N35</f>
        <v>#VALUE!</v>
      </c>
      <c r="U35" s="45"/>
    </row>
    <row r="36" spans="1:22" ht="23.25" customHeight="1" x14ac:dyDescent="0.3">
      <c r="A36" s="60" t="s">
        <v>26</v>
      </c>
      <c r="B36" s="47">
        <f>B34+B35</f>
        <v>0</v>
      </c>
      <c r="C36" s="47"/>
      <c r="D36" s="47"/>
      <c r="E36" s="36"/>
      <c r="F36" s="36"/>
      <c r="G36" s="36"/>
      <c r="I36" t="s">
        <v>27</v>
      </c>
      <c r="J36" s="44" t="e">
        <f ca="1">IF(I4="YES",T35,0)</f>
        <v>#VALUE!</v>
      </c>
      <c r="K36" s="45"/>
      <c r="L36" s="44"/>
      <c r="M36" s="45"/>
      <c r="N36" s="44" t="e">
        <f ca="1">J36</f>
        <v>#VALUE!</v>
      </c>
      <c r="O36" s="45"/>
      <c r="P36" s="44"/>
      <c r="Q36" s="45"/>
      <c r="R36" s="33"/>
      <c r="S36" s="33"/>
      <c r="T36" s="44" t="e">
        <f ca="1">J36+L36-N36</f>
        <v>#VALUE!</v>
      </c>
      <c r="U36" s="45"/>
    </row>
    <row r="37" spans="1:22" ht="21.75" customHeight="1" x14ac:dyDescent="0.3">
      <c r="A37" s="61"/>
      <c r="B37" s="47"/>
      <c r="C37" s="47"/>
      <c r="D37" s="47"/>
      <c r="I37" t="s">
        <v>28</v>
      </c>
      <c r="J37" s="44" t="e">
        <f ca="1">IF(I4="YES",T36,T35)</f>
        <v>#VALUE!</v>
      </c>
      <c r="K37" s="45"/>
      <c r="L37" s="44">
        <f>P37+R37+S37</f>
        <v>30000</v>
      </c>
      <c r="M37" s="45"/>
      <c r="N37" s="44"/>
      <c r="O37" s="45"/>
      <c r="P37" s="37">
        <f>IF(B34-INT(B34)&lt;0.5,INT(B34),ROUNDUP(B34,0))</f>
        <v>0</v>
      </c>
      <c r="Q37" s="38"/>
      <c r="R37" s="34">
        <f>I9</f>
        <v>30000</v>
      </c>
      <c r="S37" s="34">
        <f>IF(B35-INT(B35)&lt;0.5,INT(B35),ROUNDUP(B35,0))</f>
        <v>0</v>
      </c>
      <c r="T37" s="58" t="e">
        <f ca="1">J37+L37-N37</f>
        <v>#VALUE!</v>
      </c>
      <c r="U37" s="59"/>
    </row>
    <row r="38" spans="1:22" x14ac:dyDescent="0.3">
      <c r="P38" s="1"/>
    </row>
    <row r="39" spans="1:22" x14ac:dyDescent="0.3">
      <c r="P39" s="1"/>
    </row>
    <row r="40" spans="1:22" x14ac:dyDescent="0.3">
      <c r="T40" s="40" t="s">
        <v>29</v>
      </c>
      <c r="U40" s="41"/>
    </row>
    <row r="41" spans="1:22" ht="14.4" customHeight="1" x14ac:dyDescent="0.3">
      <c r="F41" s="56" t="s">
        <v>30</v>
      </c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T41" s="42"/>
      <c r="U41" s="43"/>
    </row>
    <row r="42" spans="1:22" ht="14.4" customHeight="1" x14ac:dyDescent="0.3">
      <c r="F42" s="56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22" ht="14.4" customHeight="1" x14ac:dyDescent="0.3">
      <c r="F43" s="56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22" x14ac:dyDescent="0.3">
      <c r="A44" s="54" t="s">
        <v>31</v>
      </c>
      <c r="B44" s="54"/>
      <c r="C44" s="54"/>
      <c r="D44" s="54"/>
      <c r="E44" s="54"/>
      <c r="F44" s="54"/>
      <c r="G44" s="54"/>
      <c r="H44" s="54"/>
      <c r="I44" s="54"/>
      <c r="J44" s="54"/>
      <c r="K44" s="14"/>
      <c r="L44" s="15"/>
      <c r="M44" s="54" t="s">
        <v>32</v>
      </c>
      <c r="N44" s="54"/>
      <c r="O44" s="54"/>
      <c r="P44" s="54"/>
      <c r="Q44" s="54"/>
      <c r="R44" s="54"/>
      <c r="S44" s="54"/>
      <c r="T44" s="54"/>
      <c r="U44" s="54"/>
      <c r="V44" s="54"/>
    </row>
    <row r="45" spans="1:22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14"/>
      <c r="L45" s="15"/>
      <c r="M45" s="54"/>
      <c r="N45" s="54"/>
      <c r="O45" s="54"/>
      <c r="P45" s="54"/>
      <c r="Q45" s="54"/>
      <c r="R45" s="54"/>
      <c r="S45" s="54"/>
      <c r="T45" s="54"/>
      <c r="U45" s="54"/>
      <c r="V45" s="54"/>
    </row>
    <row r="46" spans="1:22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14"/>
      <c r="L46" s="15"/>
      <c r="M46" s="54"/>
      <c r="N46" s="54"/>
      <c r="O46" s="54"/>
      <c r="P46" s="54"/>
      <c r="Q46" s="54"/>
      <c r="R46" s="54"/>
      <c r="S46" s="54"/>
      <c r="T46" s="54"/>
      <c r="U46" s="54"/>
      <c r="V46" s="54"/>
    </row>
    <row r="47" spans="1:22" x14ac:dyDescent="0.3">
      <c r="B47" s="55" t="s">
        <v>33</v>
      </c>
      <c r="C47" s="55"/>
      <c r="D47" s="55"/>
      <c r="E47" s="55"/>
      <c r="F47" s="55"/>
      <c r="G47" s="55" t="s">
        <v>34</v>
      </c>
      <c r="H47" s="55"/>
      <c r="I47" s="16" t="s">
        <v>26</v>
      </c>
      <c r="J47" s="13" t="s">
        <v>35</v>
      </c>
      <c r="K47" s="14"/>
      <c r="L47" s="15"/>
      <c r="M47" s="35" t="s">
        <v>33</v>
      </c>
      <c r="N47" s="35"/>
      <c r="O47" s="35"/>
      <c r="P47" s="35"/>
      <c r="Q47" s="35"/>
      <c r="R47" s="13"/>
      <c r="S47" s="55" t="s">
        <v>36</v>
      </c>
      <c r="T47" s="55"/>
      <c r="U47" s="16" t="s">
        <v>26</v>
      </c>
      <c r="V47" s="13" t="s">
        <v>37</v>
      </c>
    </row>
    <row r="48" spans="1:22" x14ac:dyDescent="0.3">
      <c r="I48" s="18"/>
      <c r="K48" s="14"/>
      <c r="L48" s="15"/>
    </row>
    <row r="49" spans="1:22" x14ac:dyDescent="0.3">
      <c r="A49" s="3">
        <v>5000</v>
      </c>
      <c r="B49" s="19"/>
      <c r="C49" s="19"/>
      <c r="D49" s="19"/>
      <c r="E49" s="19"/>
      <c r="F49" s="20"/>
      <c r="H49">
        <f t="shared" ref="H49:H58" si="7">SUM(B49:G49)</f>
        <v>0</v>
      </c>
      <c r="I49" s="31">
        <f t="shared" ref="I49:I58" si="8">A49*H49</f>
        <v>0</v>
      </c>
      <c r="J49">
        <f t="shared" ref="J49:J58" si="9">H49-U13</f>
        <v>0</v>
      </c>
      <c r="K49" s="14"/>
      <c r="L49" s="15"/>
      <c r="M49" s="17">
        <v>5000</v>
      </c>
      <c r="N49" s="19"/>
      <c r="O49" s="19"/>
      <c r="P49" s="19"/>
      <c r="Q49" s="19"/>
      <c r="R49" s="20"/>
      <c r="T49" s="3">
        <f t="shared" ref="T49:T58" si="10">SUM(N49:S49)</f>
        <v>0</v>
      </c>
      <c r="U49" s="1">
        <f t="shared" ref="U49:U58" si="11">M49*T49</f>
        <v>0</v>
      </c>
      <c r="V49">
        <f t="shared" ref="V49:V58" si="12">T49-U13</f>
        <v>0</v>
      </c>
    </row>
    <row r="50" spans="1:22" x14ac:dyDescent="0.3">
      <c r="A50" s="3">
        <v>1000</v>
      </c>
      <c r="B50" s="19"/>
      <c r="C50" s="19"/>
      <c r="D50" s="19"/>
      <c r="E50" s="19"/>
      <c r="F50" s="20"/>
      <c r="H50">
        <f t="shared" si="7"/>
        <v>0</v>
      </c>
      <c r="I50" s="31">
        <f t="shared" si="8"/>
        <v>0</v>
      </c>
      <c r="J50">
        <f t="shared" si="9"/>
        <v>0</v>
      </c>
      <c r="K50" s="14"/>
      <c r="L50" s="15"/>
      <c r="M50" s="17">
        <v>1000</v>
      </c>
      <c r="N50" s="19"/>
      <c r="O50" s="19"/>
      <c r="P50" s="19"/>
      <c r="Q50" s="19"/>
      <c r="R50" s="20"/>
      <c r="T50" s="3">
        <f t="shared" si="10"/>
        <v>0</v>
      </c>
      <c r="U50" s="1">
        <f t="shared" si="11"/>
        <v>0</v>
      </c>
      <c r="V50">
        <f t="shared" si="12"/>
        <v>0</v>
      </c>
    </row>
    <row r="51" spans="1:22" x14ac:dyDescent="0.3">
      <c r="A51" s="3">
        <v>500</v>
      </c>
      <c r="B51" s="19"/>
      <c r="C51" s="19"/>
      <c r="D51" s="19"/>
      <c r="E51" s="19"/>
      <c r="F51" s="20"/>
      <c r="H51">
        <f t="shared" si="7"/>
        <v>0</v>
      </c>
      <c r="I51" s="31">
        <f t="shared" si="8"/>
        <v>0</v>
      </c>
      <c r="J51">
        <f t="shared" si="9"/>
        <v>0</v>
      </c>
      <c r="K51" s="14"/>
      <c r="L51" s="15"/>
      <c r="M51" s="17">
        <v>500</v>
      </c>
      <c r="N51" s="19"/>
      <c r="O51" s="19"/>
      <c r="P51" s="19"/>
      <c r="Q51" s="19"/>
      <c r="R51" s="20"/>
      <c r="T51" s="3">
        <f t="shared" si="10"/>
        <v>0</v>
      </c>
      <c r="U51" s="1">
        <f t="shared" si="11"/>
        <v>0</v>
      </c>
      <c r="V51">
        <f t="shared" si="12"/>
        <v>0</v>
      </c>
    </row>
    <row r="52" spans="1:22" x14ac:dyDescent="0.3">
      <c r="A52" s="3">
        <v>100</v>
      </c>
      <c r="B52" s="19"/>
      <c r="C52" s="19"/>
      <c r="D52" s="19"/>
      <c r="E52" s="19"/>
      <c r="F52" s="20"/>
      <c r="H52">
        <f t="shared" si="7"/>
        <v>0</v>
      </c>
      <c r="I52" s="31">
        <f t="shared" si="8"/>
        <v>0</v>
      </c>
      <c r="J52">
        <f t="shared" si="9"/>
        <v>0</v>
      </c>
      <c r="K52" s="14"/>
      <c r="L52" s="15"/>
      <c r="M52" s="17">
        <v>100</v>
      </c>
      <c r="N52" s="19"/>
      <c r="O52" s="19"/>
      <c r="P52" s="19"/>
      <c r="Q52" s="19"/>
      <c r="R52" s="20"/>
      <c r="T52" s="3">
        <f t="shared" si="10"/>
        <v>0</v>
      </c>
      <c r="U52" s="1">
        <f t="shared" si="11"/>
        <v>0</v>
      </c>
      <c r="V52">
        <f t="shared" si="12"/>
        <v>0</v>
      </c>
    </row>
    <row r="53" spans="1:22" x14ac:dyDescent="0.3">
      <c r="A53" s="3">
        <v>50</v>
      </c>
      <c r="B53" s="19"/>
      <c r="C53" s="19"/>
      <c r="D53" s="19"/>
      <c r="E53" s="19"/>
      <c r="F53" s="20"/>
      <c r="H53">
        <f t="shared" si="7"/>
        <v>0</v>
      </c>
      <c r="I53" s="31">
        <f t="shared" si="8"/>
        <v>0</v>
      </c>
      <c r="J53">
        <f t="shared" si="9"/>
        <v>0</v>
      </c>
      <c r="K53" s="14"/>
      <c r="L53" s="15"/>
      <c r="M53" s="17">
        <v>50</v>
      </c>
      <c r="N53" s="19"/>
      <c r="O53" s="19"/>
      <c r="P53" s="19"/>
      <c r="Q53" s="19"/>
      <c r="R53" s="20"/>
      <c r="T53" s="3">
        <f t="shared" si="10"/>
        <v>0</v>
      </c>
      <c r="U53" s="1">
        <f t="shared" si="11"/>
        <v>0</v>
      </c>
      <c r="V53">
        <f t="shared" si="12"/>
        <v>0</v>
      </c>
    </row>
    <row r="54" spans="1:22" x14ac:dyDescent="0.3">
      <c r="A54" s="3">
        <v>20</v>
      </c>
      <c r="B54" s="19"/>
      <c r="C54" s="19"/>
      <c r="D54" s="19"/>
      <c r="E54" s="19"/>
      <c r="F54" s="20"/>
      <c r="H54">
        <f t="shared" si="7"/>
        <v>0</v>
      </c>
      <c r="I54" s="31">
        <f t="shared" si="8"/>
        <v>0</v>
      </c>
      <c r="J54">
        <f t="shared" si="9"/>
        <v>0</v>
      </c>
      <c r="K54" s="14"/>
      <c r="L54" s="15"/>
      <c r="M54" s="17">
        <v>20</v>
      </c>
      <c r="N54" s="19"/>
      <c r="O54" s="19"/>
      <c r="P54" s="19"/>
      <c r="Q54" s="19"/>
      <c r="R54" s="20"/>
      <c r="T54" s="3">
        <f t="shared" si="10"/>
        <v>0</v>
      </c>
      <c r="U54" s="1">
        <f t="shared" si="11"/>
        <v>0</v>
      </c>
      <c r="V54">
        <f t="shared" si="12"/>
        <v>0</v>
      </c>
    </row>
    <row r="55" spans="1:22" x14ac:dyDescent="0.3">
      <c r="A55" s="3">
        <v>10</v>
      </c>
      <c r="B55" s="19"/>
      <c r="C55" s="19"/>
      <c r="D55" s="19"/>
      <c r="E55" s="19"/>
      <c r="F55" s="20"/>
      <c r="H55">
        <f t="shared" si="7"/>
        <v>0</v>
      </c>
      <c r="I55" s="31">
        <f t="shared" si="8"/>
        <v>0</v>
      </c>
      <c r="J55">
        <f t="shared" si="9"/>
        <v>0</v>
      </c>
      <c r="K55" s="14"/>
      <c r="L55" s="15"/>
      <c r="M55" s="17">
        <v>10</v>
      </c>
      <c r="N55" s="19"/>
      <c r="O55" s="19"/>
      <c r="P55" s="19"/>
      <c r="Q55" s="19"/>
      <c r="R55" s="20"/>
      <c r="T55" s="3">
        <f t="shared" si="10"/>
        <v>0</v>
      </c>
      <c r="U55" s="1">
        <f t="shared" si="11"/>
        <v>0</v>
      </c>
      <c r="V55">
        <f t="shared" si="12"/>
        <v>0</v>
      </c>
    </row>
    <row r="56" spans="1:22" x14ac:dyDescent="0.3">
      <c r="A56" s="3">
        <v>5</v>
      </c>
      <c r="B56" s="19"/>
      <c r="C56" s="19"/>
      <c r="D56" s="19"/>
      <c r="E56" s="19"/>
      <c r="F56" s="20"/>
      <c r="H56">
        <f t="shared" si="7"/>
        <v>0</v>
      </c>
      <c r="I56" s="31">
        <f t="shared" si="8"/>
        <v>0</v>
      </c>
      <c r="J56">
        <f t="shared" si="9"/>
        <v>0</v>
      </c>
      <c r="K56" s="14"/>
      <c r="L56" s="15"/>
      <c r="M56" s="17">
        <v>5</v>
      </c>
      <c r="N56" s="19"/>
      <c r="O56" s="19"/>
      <c r="P56" s="19"/>
      <c r="Q56" s="19"/>
      <c r="R56" s="20"/>
      <c r="T56" s="3">
        <f t="shared" si="10"/>
        <v>0</v>
      </c>
      <c r="U56" s="1">
        <f t="shared" si="11"/>
        <v>0</v>
      </c>
      <c r="V56">
        <f t="shared" si="12"/>
        <v>0</v>
      </c>
    </row>
    <row r="57" spans="1:22" x14ac:dyDescent="0.3">
      <c r="A57" s="3">
        <v>2</v>
      </c>
      <c r="B57" s="19"/>
      <c r="C57" s="19"/>
      <c r="D57" s="19"/>
      <c r="E57" s="19"/>
      <c r="F57" s="20"/>
      <c r="H57">
        <f t="shared" si="7"/>
        <v>0</v>
      </c>
      <c r="I57" s="31">
        <f t="shared" si="8"/>
        <v>0</v>
      </c>
      <c r="J57">
        <f t="shared" si="9"/>
        <v>0</v>
      </c>
      <c r="K57" s="14"/>
      <c r="L57" s="15"/>
      <c r="M57" s="17">
        <v>2</v>
      </c>
      <c r="N57" s="19"/>
      <c r="O57" s="19"/>
      <c r="P57" s="19"/>
      <c r="Q57" s="19"/>
      <c r="R57" s="20"/>
      <c r="T57" s="3">
        <f t="shared" si="10"/>
        <v>0</v>
      </c>
      <c r="U57" s="1">
        <f t="shared" si="11"/>
        <v>0</v>
      </c>
      <c r="V57">
        <f t="shared" si="12"/>
        <v>0</v>
      </c>
    </row>
    <row r="58" spans="1:22" x14ac:dyDescent="0.3">
      <c r="A58" s="3">
        <v>1</v>
      </c>
      <c r="B58" s="19"/>
      <c r="C58" s="19"/>
      <c r="D58" s="19"/>
      <c r="E58" s="19"/>
      <c r="F58" s="20"/>
      <c r="H58">
        <f t="shared" si="7"/>
        <v>0</v>
      </c>
      <c r="I58" s="31">
        <f t="shared" si="8"/>
        <v>0</v>
      </c>
      <c r="J58">
        <f t="shared" si="9"/>
        <v>0</v>
      </c>
      <c r="K58" s="14"/>
      <c r="L58" s="15"/>
      <c r="M58" s="17">
        <v>1</v>
      </c>
      <c r="N58" s="19"/>
      <c r="O58" s="19"/>
      <c r="P58" s="19"/>
      <c r="Q58" s="19"/>
      <c r="R58" s="20"/>
      <c r="T58" s="3">
        <f t="shared" si="10"/>
        <v>0</v>
      </c>
      <c r="U58" s="1">
        <f t="shared" si="11"/>
        <v>0</v>
      </c>
      <c r="V58">
        <f t="shared" si="12"/>
        <v>0</v>
      </c>
    </row>
    <row r="59" spans="1:22" x14ac:dyDescent="0.3">
      <c r="I59" s="18"/>
      <c r="K59" s="14"/>
      <c r="L59" s="15"/>
    </row>
    <row r="60" spans="1:22" ht="15" thickBot="1" x14ac:dyDescent="0.35">
      <c r="B60" s="39" t="s">
        <v>38</v>
      </c>
      <c r="C60" s="39"/>
      <c r="D60" s="39"/>
      <c r="E60" s="39"/>
      <c r="F60" s="39"/>
      <c r="G60" s="7"/>
      <c r="I60" s="26">
        <f>SUM(I49:I58)</f>
        <v>0</v>
      </c>
      <c r="J60" s="1"/>
      <c r="K60" s="27"/>
      <c r="L60" s="28"/>
      <c r="M60" s="1"/>
      <c r="N60" s="29" t="s">
        <v>38</v>
      </c>
      <c r="O60" s="29"/>
      <c r="P60" s="29"/>
      <c r="Q60" s="29"/>
      <c r="R60" s="29"/>
      <c r="S60" s="29"/>
      <c r="T60" s="1"/>
      <c r="U60" s="30">
        <f>SUM(U49:U58)</f>
        <v>0</v>
      </c>
    </row>
    <row r="61" spans="1:22" ht="15" thickTop="1" x14ac:dyDescent="0.3">
      <c r="B61" s="39" t="s">
        <v>39</v>
      </c>
      <c r="C61" s="39"/>
      <c r="D61" s="39"/>
      <c r="E61" s="39"/>
      <c r="F61" s="39"/>
      <c r="I61" s="1">
        <f>I60-B36</f>
        <v>0</v>
      </c>
      <c r="J61" s="1"/>
      <c r="K61" s="27"/>
      <c r="L61" s="28"/>
      <c r="M61" s="1"/>
      <c r="N61" s="29" t="s">
        <v>39</v>
      </c>
      <c r="O61" s="29"/>
      <c r="P61" s="29"/>
      <c r="Q61" s="29"/>
      <c r="R61" s="29"/>
      <c r="S61" s="1"/>
      <c r="T61" s="1"/>
      <c r="U61" s="1">
        <f>U60-B36</f>
        <v>0</v>
      </c>
    </row>
  </sheetData>
  <mergeCells count="62">
    <mergeCell ref="T4:U4"/>
    <mergeCell ref="T5:U5"/>
    <mergeCell ref="T6:U6"/>
    <mergeCell ref="T7:U7"/>
    <mergeCell ref="A9:G9"/>
    <mergeCell ref="A3:G3"/>
    <mergeCell ref="I3:K3"/>
    <mergeCell ref="L37:M37"/>
    <mergeCell ref="N36:O36"/>
    <mergeCell ref="A7:G7"/>
    <mergeCell ref="A6:G6"/>
    <mergeCell ref="A5:G5"/>
    <mergeCell ref="I5:K5"/>
    <mergeCell ref="I6:K6"/>
    <mergeCell ref="I7:K7"/>
    <mergeCell ref="O4:R4"/>
    <mergeCell ref="G1:P1"/>
    <mergeCell ref="A4:G4"/>
    <mergeCell ref="J36:K36"/>
    <mergeCell ref="J31:R31"/>
    <mergeCell ref="A31:C31"/>
    <mergeCell ref="N34:O34"/>
    <mergeCell ref="P34:Q34"/>
    <mergeCell ref="A8:G8"/>
    <mergeCell ref="I8:K8"/>
    <mergeCell ref="I4:K4"/>
    <mergeCell ref="I9:K9"/>
    <mergeCell ref="I11:K11"/>
    <mergeCell ref="P36:Q36"/>
    <mergeCell ref="J35:K35"/>
    <mergeCell ref="L36:M36"/>
    <mergeCell ref="B34:D34"/>
    <mergeCell ref="B61:F61"/>
    <mergeCell ref="E32:H32"/>
    <mergeCell ref="M44:V46"/>
    <mergeCell ref="S47:T47"/>
    <mergeCell ref="B47:F47"/>
    <mergeCell ref="G47:H47"/>
    <mergeCell ref="F41:R43"/>
    <mergeCell ref="P35:Q35"/>
    <mergeCell ref="T35:U35"/>
    <mergeCell ref="T37:U37"/>
    <mergeCell ref="T36:U36"/>
    <mergeCell ref="T34:U34"/>
    <mergeCell ref="A44:J46"/>
    <mergeCell ref="A36:A37"/>
    <mergeCell ref="N35:O35"/>
    <mergeCell ref="J37:K37"/>
    <mergeCell ref="P37:Q37"/>
    <mergeCell ref="B60:F60"/>
    <mergeCell ref="U11:V11"/>
    <mergeCell ref="A11:C11"/>
    <mergeCell ref="E11:G11"/>
    <mergeCell ref="T40:U41"/>
    <mergeCell ref="N37:O37"/>
    <mergeCell ref="B35:D35"/>
    <mergeCell ref="B36:D37"/>
    <mergeCell ref="J34:K34"/>
    <mergeCell ref="L34:M34"/>
    <mergeCell ref="B32:C32"/>
    <mergeCell ref="M11:O11"/>
    <mergeCell ref="L35:M35"/>
  </mergeCells>
  <conditionalFormatting sqref="C28:R28">
    <cfRule type="cellIs" dxfId="11" priority="16" operator="equal">
      <formula>"YES"</formula>
    </cfRule>
    <cfRule type="cellIs" dxfId="10" priority="17" operator="equal">
      <formula>"PAID"</formula>
    </cfRule>
    <cfRule type="cellIs" dxfId="9" priority="26" operator="equal">
      <formula>"UNPAID"</formula>
    </cfRule>
  </conditionalFormatting>
  <conditionalFormatting sqref="I61">
    <cfRule type="cellIs" dxfId="8" priority="14" operator="greaterThan">
      <formula>0</formula>
    </cfRule>
    <cfRule type="cellIs" dxfId="7" priority="15" operator="lessThan">
      <formula>0</formula>
    </cfRule>
  </conditionalFormatting>
  <conditionalFormatting sqref="I4:K5 I6:I7">
    <cfRule type="cellIs" dxfId="1" priority="10" operator="equal">
      <formula>"NO"</formula>
    </cfRule>
    <cfRule type="cellIs" dxfId="0" priority="11" operator="equal">
      <formula>"YES"</formula>
    </cfRule>
  </conditionalFormatting>
  <conditionalFormatting sqref="I36:U36">
    <cfRule type="expression" dxfId="6" priority="5">
      <formula>$I$4="NO"</formula>
    </cfRule>
  </conditionalFormatting>
  <conditionalFormatting sqref="J36 L36 N36 P36 R36:T36">
    <cfRule type="expression" dxfId="5" priority="6">
      <formula>I4="NO"</formula>
    </cfRule>
  </conditionalFormatting>
  <conditionalFormatting sqref="J37:P37 T37:U37">
    <cfRule type="expression" dxfId="4" priority="4">
      <formula>#REF!&lt;=0</formula>
    </cfRule>
  </conditionalFormatting>
  <conditionalFormatting sqref="U61">
    <cfRule type="cellIs" dxfId="3" priority="12" operator="greaterThan">
      <formula>0</formula>
    </cfRule>
    <cfRule type="cellIs" dxfId="2" priority="13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PreviousT34">
                <anchor moveWithCells="1" sizeWithCells="1">
                  <from>
                    <xdr:col>5</xdr:col>
                    <xdr:colOff>518160</xdr:colOff>
                    <xdr:row>7</xdr:row>
                    <xdr:rowOff>7620</xdr:rowOff>
                  </from>
                  <to>
                    <xdr:col>7</xdr:col>
                    <xdr:colOff>632460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Dineth Pansilu</cp:lastModifiedBy>
  <cp:revision/>
  <dcterms:created xsi:type="dcterms:W3CDTF">2006-09-16T00:00:00Z</dcterms:created>
  <dcterms:modified xsi:type="dcterms:W3CDTF">2025-08-17T05:49:09Z</dcterms:modified>
  <cp:category/>
  <cp:contentStatus/>
</cp:coreProperties>
</file>