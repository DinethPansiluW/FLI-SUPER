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76295782-B456-486E-BF3F-EA1CFAC6E73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ARGET" sheetId="3" r:id="rId1"/>
    <sheet name="Morning Ms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3" l="1"/>
  <c r="H14" i="3"/>
  <c r="H15" i="3"/>
  <c r="H16" i="3"/>
  <c r="H17" i="3"/>
  <c r="H18" i="3"/>
  <c r="H19" i="3"/>
  <c r="H21" i="3"/>
  <c r="H22" i="3"/>
  <c r="H23" i="3"/>
  <c r="H24" i="3"/>
  <c r="H25" i="3"/>
  <c r="H26" i="3"/>
  <c r="H27" i="3"/>
  <c r="H29" i="3"/>
  <c r="H30" i="3"/>
  <c r="H31" i="3"/>
  <c r="H32" i="3"/>
  <c r="H33" i="3"/>
  <c r="H34" i="3"/>
  <c r="H35" i="3"/>
  <c r="H37" i="3"/>
  <c r="H38" i="3"/>
  <c r="H39" i="3"/>
  <c r="H5" i="3"/>
  <c r="H6" i="3"/>
  <c r="H7" i="3"/>
  <c r="H8" i="3"/>
  <c r="H9" i="3"/>
  <c r="H10" i="3"/>
  <c r="H11" i="3"/>
  <c r="H13" i="3"/>
  <c r="I14" i="3"/>
  <c r="I15" i="3"/>
  <c r="I16" i="3"/>
  <c r="I17" i="3"/>
  <c r="I18" i="3"/>
  <c r="I19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7" i="3"/>
  <c r="I38" i="3"/>
  <c r="I39" i="3"/>
  <c r="I6" i="3"/>
  <c r="I7" i="3"/>
  <c r="I8" i="3"/>
  <c r="I9" i="3"/>
  <c r="I10" i="3"/>
  <c r="I11" i="3"/>
  <c r="I13" i="3"/>
  <c r="I5" i="3"/>
  <c r="G4" i="2"/>
  <c r="G8" i="2"/>
</calcChain>
</file>

<file path=xl/sharedStrings.xml><?xml version="1.0" encoding="utf-8"?>
<sst xmlns="http://schemas.openxmlformats.org/spreadsheetml/2006/main" count="33" uniqueCount="28">
  <si>
    <t>Yesterday Sale</t>
  </si>
  <si>
    <t>Today Target</t>
  </si>
  <si>
    <t>Today Perpetual Stock Count</t>
  </si>
  <si>
    <t>Yesterday Achievement</t>
  </si>
  <si>
    <t>Monthly Achievement</t>
  </si>
  <si>
    <t>Good Morning - FLI Hunupitiya</t>
  </si>
  <si>
    <t>Minus Qty</t>
  </si>
  <si>
    <t>DSD (yesterday)</t>
  </si>
  <si>
    <t>CPU (warehouse) - Yes/No</t>
  </si>
  <si>
    <t>YES</t>
  </si>
  <si>
    <t>BEVERAGES</t>
  </si>
  <si>
    <t>DATE</t>
  </si>
  <si>
    <t>TARGET</t>
  </si>
  <si>
    <t>ACHIVEMENT</t>
  </si>
  <si>
    <t xml:space="preserve">TOTAL TARGET of MONTH = </t>
  </si>
  <si>
    <t>WAREHOUSE</t>
  </si>
  <si>
    <t>DSD</t>
  </si>
  <si>
    <t>MINUS QTY</t>
  </si>
  <si>
    <t>PERPERTUAL</t>
  </si>
  <si>
    <t>BREAKFAST CERIAL</t>
  </si>
  <si>
    <t>3</t>
  </si>
  <si>
    <t>103</t>
  </si>
  <si>
    <t>CONDIMANT &amp; SAUCE</t>
  </si>
  <si>
    <t>2</t>
  </si>
  <si>
    <t>98</t>
  </si>
  <si>
    <t>CONVENIENCE FOOD</t>
  </si>
  <si>
    <t>ACHIVEMENT PRECENTAGE</t>
  </si>
  <si>
    <t>MONTHLY ACHIVEMENT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</si>
</sst>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\%"/>
  </numFmts>
  <fonts count="9" x14ac:knownFonts="1">
    <font>
      <sz val="11"/>
      <color theme="1"/>
      <name val="Calibri"/>
      <family val="2"/>
      <scheme val="minor"/>
    </font>
    <font>
      <b/>
      <sz val="20"/>
      <color theme="0"/>
      <name val="Tahoma"/>
      <family val="2"/>
    </font>
    <font>
      <b/>
      <sz val="20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B564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4" borderId="2" xfId="0" applyNumberFormat="1" applyFill="1" applyBorder="1"/>
    <xf numFmtId="43" fontId="0" fillId="3" borderId="2" xfId="0" applyNumberFormat="1" applyFill="1" applyBorder="1"/>
    <xf numFmtId="0" fontId="4" fillId="0" borderId="0" xfId="0" applyFont="1"/>
    <xf numFmtId="16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49" fontId="0" fillId="4" borderId="2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0" fontId="0" fillId="0" borderId="2" xfId="0" applyBorder="1"/>
    <xf numFmtId="43" fontId="0" fillId="0" borderId="2" xfId="0" applyNumberFormat="1" applyBorder="1"/>
    <xf numFmtId="49" fontId="0" fillId="0" borderId="2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" fontId="7" fillId="5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56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167640</xdr:rowOff>
        </xdr:from>
        <xdr:to>
          <xdr:col>4</xdr:col>
          <xdr:colOff>205740</xdr:colOff>
          <xdr:row>4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7FB38-356D-43B2-B6A9-072C6D462EEC}">
  <sheetPr codeName="Sheet1"/>
  <dimension ref="A1:I39"/>
  <sheetViews>
    <sheetView tabSelected="1" workbookViewId="0">
      <selection activeCell="L7" sqref="L7"/>
    </sheetView>
  </sheetViews>
  <sheetFormatPr defaultRowHeight="14.4" x14ac:dyDescent="0.3"/>
  <cols>
    <col min="1" max="1" width="8.88671875" style="11"/>
    <col min="2" max="2" width="20.6640625" customWidth="1"/>
    <col min="3" max="3" width="25.44140625" customWidth="1"/>
    <col min="4" max="4" width="16.88671875" customWidth="1"/>
    <col min="5" max="5" width="15.88671875" customWidth="1"/>
    <col min="6" max="6" width="15.5546875" customWidth="1"/>
    <col min="7" max="7" width="21.33203125" customWidth="1"/>
    <col min="8" max="8" width="24.33203125" bestFit="1" customWidth="1"/>
    <col min="9" max="9" width="21.77734375" bestFit="1" customWidth="1"/>
  </cols>
  <sheetData>
    <row r="1" spans="1:9" ht="14.4" customHeight="1" x14ac:dyDescent="0.3">
      <c r="A1" s="20" t="s">
        <v>14</v>
      </c>
      <c r="B1" s="20"/>
      <c r="C1" s="20"/>
      <c r="D1" s="21">
        <v>22801726.57</v>
      </c>
      <c r="E1" s="21"/>
      <c r="F1" s="21"/>
      <c r="G1" s="21"/>
      <c r="H1" s="22" t="str">
        <f ca="1">TEXT(TODAY(), "mmmm")</f>
        <v>August</v>
      </c>
      <c r="I1" s="22"/>
    </row>
    <row r="2" spans="1:9" ht="14.4" customHeight="1" x14ac:dyDescent="0.3">
      <c r="A2" s="20"/>
      <c r="B2" s="20"/>
      <c r="C2" s="20"/>
      <c r="D2" s="21"/>
      <c r="E2" s="21"/>
      <c r="F2" s="21"/>
      <c r="G2" s="21"/>
      <c r="H2" s="22"/>
      <c r="I2" s="22"/>
    </row>
    <row r="3" spans="1:9" x14ac:dyDescent="0.3">
      <c r="A3" s="6"/>
      <c r="B3" s="6"/>
      <c r="C3" s="6"/>
      <c r="D3" s="6"/>
      <c r="E3" s="8"/>
      <c r="F3" s="8"/>
      <c r="G3" s="8"/>
      <c r="H3" s="8"/>
    </row>
    <row r="4" spans="1:9" x14ac:dyDescent="0.3">
      <c r="A4" s="13" t="s">
        <v>11</v>
      </c>
      <c r="B4" s="13" t="s">
        <v>12</v>
      </c>
      <c r="C4" s="13" t="s">
        <v>13</v>
      </c>
      <c r="D4" s="13" t="s">
        <v>15</v>
      </c>
      <c r="E4" s="13" t="s">
        <v>16</v>
      </c>
      <c r="F4" s="13" t="s">
        <v>17</v>
      </c>
      <c r="G4" s="13" t="s">
        <v>18</v>
      </c>
      <c r="H4" s="13" t="s">
        <v>26</v>
      </c>
      <c r="I4" s="13" t="s">
        <v>27</v>
      </c>
    </row>
    <row r="5" spans="1:9" x14ac:dyDescent="0.3">
      <c r="A5" s="14">
        <v>1</v>
      </c>
      <c r="B5" s="9">
        <v>679440</v>
      </c>
      <c r="C5" s="10">
        <v>742684.45</v>
      </c>
      <c r="D5" s="15"/>
      <c r="E5" s="16"/>
      <c r="F5" s="15"/>
      <c r="G5" s="16"/>
      <c r="H5" s="17" t="str">
        <f t="shared" ref="H5:H11" si="0">IF(OR(B5=0, ISBLANK(B5), ISBLANK(C5)), "", ROUNDUP(C5/B5 * 100, 2) &amp; "%")</f>
        <v>109.31%</v>
      </c>
      <c r="I5" s="18" t="str">
        <f>IF(ROW()&gt;=5, ROUNDUP(SUM($C$5:INDEX($C:$C, ROW()))/$D$1 * 100, 2) &amp; "%", "")</f>
        <v>3.26%</v>
      </c>
    </row>
    <row r="6" spans="1:9" x14ac:dyDescent="0.3">
      <c r="A6" s="14">
        <v>2</v>
      </c>
      <c r="B6" s="9">
        <v>691597.97</v>
      </c>
      <c r="C6" s="10">
        <v>908115.55</v>
      </c>
      <c r="D6" s="15"/>
      <c r="E6" s="16"/>
      <c r="F6" s="15"/>
      <c r="G6" s="16"/>
      <c r="H6" s="17" t="str">
        <f t="shared" si="0"/>
        <v>131.31%</v>
      </c>
      <c r="I6" s="18" t="str">
        <f>IF(ROW()&gt;=5, ROUNDUP(SUM($C$5:INDEX($C:$C, ROW()))/$D$1 * 100, 2) &amp; "%", "")</f>
        <v>7.24%</v>
      </c>
    </row>
    <row r="7" spans="1:9" x14ac:dyDescent="0.3">
      <c r="A7" s="14">
        <v>3</v>
      </c>
      <c r="B7" s="9">
        <v>695280.85</v>
      </c>
      <c r="C7" s="10">
        <v>1013210.53</v>
      </c>
      <c r="D7" s="15"/>
      <c r="E7" s="16"/>
      <c r="F7" s="15"/>
      <c r="G7" s="16"/>
      <c r="H7" s="17" t="str">
        <f t="shared" si="0"/>
        <v>145.73%</v>
      </c>
      <c r="I7" s="18" t="str">
        <f>IF(ROW()&gt;=5, ROUNDUP(SUM($C$5:INDEX($C:$C, ROW()))/$D$1 * 100, 2) &amp; "%", "")</f>
        <v>11.69%</v>
      </c>
    </row>
    <row r="8" spans="1:9" x14ac:dyDescent="0.3">
      <c r="A8" s="14">
        <v>4</v>
      </c>
      <c r="B8" s="9">
        <v>740155.3</v>
      </c>
      <c r="C8" s="10">
        <v>721967.36</v>
      </c>
      <c r="D8" s="15" t="s">
        <v>9</v>
      </c>
      <c r="E8" s="16" t="s">
        <v>23</v>
      </c>
      <c r="F8" s="15"/>
      <c r="G8" s="16"/>
      <c r="H8" s="17" t="str">
        <f t="shared" si="0"/>
        <v>97.55%</v>
      </c>
      <c r="I8" s="18" t="str">
        <f>IF(ROW()&gt;=5, ROUNDUP(SUM($C$5:INDEX($C:$C, ROW()))/$D$1 * 100, 2) &amp; "%", "")</f>
        <v>14.85%</v>
      </c>
    </row>
    <row r="9" spans="1:9" x14ac:dyDescent="0.3">
      <c r="A9" s="14">
        <v>5</v>
      </c>
      <c r="B9" s="9">
        <v>718200</v>
      </c>
      <c r="C9" s="10">
        <v>746032.53</v>
      </c>
      <c r="D9" s="15" t="s">
        <v>9</v>
      </c>
      <c r="E9" s="16" t="s">
        <v>20</v>
      </c>
      <c r="F9" s="15" t="s">
        <v>24</v>
      </c>
      <c r="G9" s="16" t="s">
        <v>25</v>
      </c>
      <c r="H9" s="17" t="str">
        <f t="shared" si="0"/>
        <v>103.88%</v>
      </c>
      <c r="I9" s="18" t="str">
        <f>IF(ROW()&gt;=5, ROUNDUP(SUM($C$5:INDEX($C:$C, ROW()))/$D$1 * 100, 2) &amp; "%", "")</f>
        <v>18.13%</v>
      </c>
    </row>
    <row r="10" spans="1:9" x14ac:dyDescent="0.3">
      <c r="A10" s="14">
        <v>6</v>
      </c>
      <c r="B10" s="9">
        <v>729600</v>
      </c>
      <c r="C10" s="10">
        <v>587078.04</v>
      </c>
      <c r="D10" s="15" t="s">
        <v>9</v>
      </c>
      <c r="E10" s="16">
        <v>6</v>
      </c>
      <c r="F10" s="15" t="s">
        <v>21</v>
      </c>
      <c r="G10" s="16" t="s">
        <v>22</v>
      </c>
      <c r="H10" s="17" t="str">
        <f t="shared" si="0"/>
        <v>80.47%</v>
      </c>
      <c r="I10" s="18" t="str">
        <f>IF(ROW()&gt;=5, ROUNDUP(SUM($C$5:INDEX($C:$C, ROW()))/$D$1 * 100, 2) &amp; "%", "")</f>
        <v>20.7%</v>
      </c>
    </row>
    <row r="11" spans="1:9" x14ac:dyDescent="0.3">
      <c r="A11" s="14">
        <v>7</v>
      </c>
      <c r="B11" s="9">
        <v>699985.28</v>
      </c>
      <c r="C11" s="10">
        <v>756123.54</v>
      </c>
      <c r="D11" s="15" t="s">
        <v>9</v>
      </c>
      <c r="E11" s="16">
        <v>6</v>
      </c>
      <c r="F11" s="15">
        <v>133</v>
      </c>
      <c r="G11" s="16" t="s">
        <v>19</v>
      </c>
      <c r="H11" s="17" t="str">
        <f t="shared" si="0"/>
        <v>108.02%</v>
      </c>
      <c r="I11" s="18" t="str">
        <f>IF(ROW()&gt;=5, ROUNDUP(SUM($C$5:INDEX($C:$C, ROW()))/$D$1 * 100, 2) &amp; "%", "")</f>
        <v>24.02%</v>
      </c>
    </row>
    <row r="12" spans="1:9" x14ac:dyDescent="0.3">
      <c r="A12" s="14"/>
      <c r="B12" s="18"/>
      <c r="C12" s="18"/>
      <c r="D12" s="19"/>
      <c r="E12" s="19"/>
      <c r="F12" s="19"/>
      <c r="G12" s="19"/>
      <c r="H12" s="17"/>
      <c r="I12" s="18"/>
    </row>
    <row r="13" spans="1:9" x14ac:dyDescent="0.3">
      <c r="A13" s="14">
        <v>8</v>
      </c>
      <c r="B13" s="9">
        <v>656150.39</v>
      </c>
      <c r="C13" s="10"/>
      <c r="D13" s="15"/>
      <c r="E13" s="16"/>
      <c r="F13" s="15">
        <v>146</v>
      </c>
      <c r="G13" s="16" t="s">
        <v>10</v>
      </c>
      <c r="H13" s="17" t="str">
        <f>IF(OR(B13=0, ISBLANK(B13), ISBLANK(C13)), "", ROUNDUP(C13/B13 * 100, 2) &amp; "%")</f>
        <v/>
      </c>
      <c r="I13" s="18" t="str">
        <f>IF(ROW()&gt;=5, ROUNDUP(SUM($C$5:INDEX($C:$C, ROW()))/$D$1 * 100, 2) &amp; "%", "")</f>
        <v>24.02%</v>
      </c>
    </row>
    <row r="14" spans="1:9" x14ac:dyDescent="0.3">
      <c r="A14" s="14">
        <v>9</v>
      </c>
      <c r="B14" s="9"/>
      <c r="C14" s="10"/>
      <c r="D14" s="15"/>
      <c r="E14" s="16"/>
      <c r="F14" s="15"/>
      <c r="G14" s="16"/>
      <c r="H14" s="17" t="str">
        <f t="shared" ref="H14:H39" si="1">IF(OR(B14=0, ISBLANK(B14), ISBLANK(C14)), "", ROUNDUP(C14/B14 * 100, 2) &amp; "%")</f>
        <v/>
      </c>
      <c r="I14" s="18" t="str">
        <f>IF(ROW()&gt;=5, ROUNDUP(SUM($C$5:INDEX($C:$C, ROW()))/$D$1 * 100, 2) &amp; "%", "")</f>
        <v>24.02%</v>
      </c>
    </row>
    <row r="15" spans="1:9" x14ac:dyDescent="0.3">
      <c r="A15" s="14">
        <v>10</v>
      </c>
      <c r="B15" s="9"/>
      <c r="C15" s="10"/>
      <c r="D15" s="15"/>
      <c r="E15" s="16"/>
      <c r="F15" s="15"/>
      <c r="G15" s="16"/>
      <c r="H15" s="17" t="str">
        <f t="shared" si="1"/>
        <v/>
      </c>
      <c r="I15" s="18" t="str">
        <f>IF(ROW()&gt;=5, ROUNDUP(SUM($C$5:INDEX($C:$C, ROW()))/$D$1 * 100, 2) &amp; "%", "")</f>
        <v>24.02%</v>
      </c>
    </row>
    <row r="16" spans="1:9" x14ac:dyDescent="0.3">
      <c r="A16" s="14">
        <v>11</v>
      </c>
      <c r="B16" s="9"/>
      <c r="C16" s="10"/>
      <c r="D16" s="15"/>
      <c r="E16" s="16"/>
      <c r="F16" s="15"/>
      <c r="G16" s="16"/>
      <c r="H16" s="17" t="str">
        <f t="shared" si="1"/>
        <v/>
      </c>
      <c r="I16" s="18" t="str">
        <f>IF(ROW()&gt;=5, ROUNDUP(SUM($C$5:INDEX($C:$C, ROW()))/$D$1 * 100, 2) &amp; "%", "")</f>
        <v>24.02%</v>
      </c>
    </row>
    <row r="17" spans="1:9" x14ac:dyDescent="0.3">
      <c r="A17" s="14">
        <v>12</v>
      </c>
      <c r="B17" s="9"/>
      <c r="C17" s="10"/>
      <c r="D17" s="15"/>
      <c r="E17" s="16"/>
      <c r="F17" s="15"/>
      <c r="G17" s="16"/>
      <c r="H17" s="17" t="str">
        <f t="shared" si="1"/>
        <v/>
      </c>
      <c r="I17" s="18" t="str">
        <f>IF(ROW()&gt;=5, ROUNDUP(SUM($C$5:INDEX($C:$C, ROW()))/$D$1 * 100, 2) &amp; "%", "")</f>
        <v>24.02%</v>
      </c>
    </row>
    <row r="18" spans="1:9" x14ac:dyDescent="0.3">
      <c r="A18" s="14">
        <v>13</v>
      </c>
      <c r="B18" s="9"/>
      <c r="C18" s="10"/>
      <c r="D18" s="15"/>
      <c r="E18" s="16"/>
      <c r="F18" s="15"/>
      <c r="G18" s="16"/>
      <c r="H18" s="17" t="str">
        <f t="shared" si="1"/>
        <v/>
      </c>
      <c r="I18" s="18" t="str">
        <f>IF(ROW()&gt;=5, ROUNDUP(SUM($C$5:INDEX($C:$C, ROW()))/$D$1 * 100, 2) &amp; "%", "")</f>
        <v>24.02%</v>
      </c>
    </row>
    <row r="19" spans="1:9" x14ac:dyDescent="0.3">
      <c r="A19" s="14">
        <v>14</v>
      </c>
      <c r="B19" s="9"/>
      <c r="C19" s="10"/>
      <c r="D19" s="15"/>
      <c r="E19" s="16"/>
      <c r="F19" s="15"/>
      <c r="G19" s="16"/>
      <c r="H19" s="17" t="str">
        <f t="shared" si="1"/>
        <v/>
      </c>
      <c r="I19" s="18" t="str">
        <f>IF(ROW()&gt;=5, ROUNDUP(SUM($C$5:INDEX($C:$C, ROW()))/$D$1 * 100, 2) &amp; "%", "")</f>
        <v>24.02%</v>
      </c>
    </row>
    <row r="20" spans="1:9" x14ac:dyDescent="0.3">
      <c r="A20" s="14"/>
      <c r="B20" s="18"/>
      <c r="C20" s="18"/>
      <c r="D20" s="19"/>
      <c r="E20" s="19"/>
      <c r="F20" s="19"/>
      <c r="G20" s="19"/>
      <c r="H20" s="17"/>
      <c r="I20" s="18"/>
    </row>
    <row r="21" spans="1:9" x14ac:dyDescent="0.3">
      <c r="A21" s="14">
        <v>15</v>
      </c>
      <c r="B21" s="9"/>
      <c r="C21" s="10"/>
      <c r="D21" s="15"/>
      <c r="E21" s="16"/>
      <c r="F21" s="15"/>
      <c r="G21" s="16"/>
      <c r="H21" s="17" t="str">
        <f t="shared" si="1"/>
        <v/>
      </c>
      <c r="I21" s="18" t="str">
        <f>IF(ROW()&gt;=5, ROUNDUP(SUM($C$5:INDEX($C:$C, ROW()))/$D$1 * 100, 2) &amp; "%", "")</f>
        <v>24.02%</v>
      </c>
    </row>
    <row r="22" spans="1:9" x14ac:dyDescent="0.3">
      <c r="A22" s="14">
        <v>16</v>
      </c>
      <c r="B22" s="9"/>
      <c r="C22" s="10"/>
      <c r="D22" s="15"/>
      <c r="E22" s="16"/>
      <c r="F22" s="15"/>
      <c r="G22" s="16"/>
      <c r="H22" s="17" t="str">
        <f t="shared" si="1"/>
        <v/>
      </c>
      <c r="I22" s="18" t="str">
        <f>IF(ROW()&gt;=5, ROUNDUP(SUM($C$5:INDEX($C:$C, ROW()))/$D$1 * 100, 2) &amp; "%", "")</f>
        <v>24.02%</v>
      </c>
    </row>
    <row r="23" spans="1:9" x14ac:dyDescent="0.3">
      <c r="A23" s="14">
        <v>17</v>
      </c>
      <c r="B23" s="9"/>
      <c r="C23" s="10"/>
      <c r="D23" s="15"/>
      <c r="E23" s="16"/>
      <c r="F23" s="15"/>
      <c r="G23" s="16"/>
      <c r="H23" s="17" t="str">
        <f t="shared" si="1"/>
        <v/>
      </c>
      <c r="I23" s="18" t="str">
        <f>IF(ROW()&gt;=5, ROUNDUP(SUM($C$5:INDEX($C:$C, ROW()))/$D$1 * 100, 2) &amp; "%", "")</f>
        <v>24.02%</v>
      </c>
    </row>
    <row r="24" spans="1:9" x14ac:dyDescent="0.3">
      <c r="A24" s="14">
        <v>18</v>
      </c>
      <c r="B24" s="9"/>
      <c r="C24" s="10"/>
      <c r="D24" s="15"/>
      <c r="E24" s="16"/>
      <c r="F24" s="15"/>
      <c r="G24" s="16"/>
      <c r="H24" s="17" t="str">
        <f t="shared" si="1"/>
        <v/>
      </c>
      <c r="I24" s="18" t="str">
        <f>IF(ROW()&gt;=5, ROUNDUP(SUM($C$5:INDEX($C:$C, ROW()))/$D$1 * 100, 2) &amp; "%", "")</f>
        <v>24.02%</v>
      </c>
    </row>
    <row r="25" spans="1:9" x14ac:dyDescent="0.3">
      <c r="A25" s="14">
        <v>19</v>
      </c>
      <c r="B25" s="9"/>
      <c r="C25" s="10"/>
      <c r="D25" s="15"/>
      <c r="E25" s="16"/>
      <c r="F25" s="15"/>
      <c r="G25" s="16"/>
      <c r="H25" s="17" t="str">
        <f t="shared" si="1"/>
        <v/>
      </c>
      <c r="I25" s="18" t="str">
        <f>IF(ROW()&gt;=5, ROUNDUP(SUM($C$5:INDEX($C:$C, ROW()))/$D$1 * 100, 2) &amp; "%", "")</f>
        <v>24.02%</v>
      </c>
    </row>
    <row r="26" spans="1:9" x14ac:dyDescent="0.3">
      <c r="A26" s="14">
        <v>20</v>
      </c>
      <c r="B26" s="9"/>
      <c r="C26" s="10"/>
      <c r="D26" s="15"/>
      <c r="E26" s="16"/>
      <c r="F26" s="15"/>
      <c r="G26" s="16"/>
      <c r="H26" s="17" t="str">
        <f t="shared" si="1"/>
        <v/>
      </c>
      <c r="I26" s="18" t="str">
        <f>IF(ROW()&gt;=5, ROUNDUP(SUM($C$5:INDEX($C:$C, ROW()))/$D$1 * 100, 2) &amp; "%", "")</f>
        <v>24.02%</v>
      </c>
    </row>
    <row r="27" spans="1:9" x14ac:dyDescent="0.3">
      <c r="A27" s="14">
        <v>21</v>
      </c>
      <c r="B27" s="9"/>
      <c r="C27" s="10"/>
      <c r="D27" s="15"/>
      <c r="E27" s="16"/>
      <c r="F27" s="15"/>
      <c r="G27" s="16"/>
      <c r="H27" s="17" t="str">
        <f t="shared" si="1"/>
        <v/>
      </c>
      <c r="I27" s="18" t="str">
        <f>IF(ROW()&gt;=5, ROUNDUP(SUM($C$5:INDEX($C:$C, ROW()))/$D$1 * 100, 2) &amp; "%", "")</f>
        <v>24.02%</v>
      </c>
    </row>
    <row r="28" spans="1:9" x14ac:dyDescent="0.3">
      <c r="A28" s="14"/>
      <c r="B28" s="18"/>
      <c r="C28" s="18"/>
      <c r="D28" s="19"/>
      <c r="E28" s="19"/>
      <c r="F28" s="19"/>
      <c r="G28" s="19"/>
      <c r="H28" s="17"/>
      <c r="I28" s="18"/>
    </row>
    <row r="29" spans="1:9" x14ac:dyDescent="0.3">
      <c r="A29" s="14">
        <v>22</v>
      </c>
      <c r="B29" s="9"/>
      <c r="C29" s="10"/>
      <c r="D29" s="15"/>
      <c r="E29" s="16"/>
      <c r="F29" s="15"/>
      <c r="G29" s="16"/>
      <c r="H29" s="17" t="str">
        <f t="shared" si="1"/>
        <v/>
      </c>
      <c r="I29" s="18" t="str">
        <f>IF(ROW()&gt;=5, ROUNDUP(SUM($C$5:INDEX($C:$C, ROW()))/$D$1 * 100, 2) &amp; "%", "")</f>
        <v>24.02%</v>
      </c>
    </row>
    <row r="30" spans="1:9" x14ac:dyDescent="0.3">
      <c r="A30" s="14">
        <v>23</v>
      </c>
      <c r="B30" s="9"/>
      <c r="C30" s="10"/>
      <c r="D30" s="15"/>
      <c r="E30" s="16"/>
      <c r="F30" s="15"/>
      <c r="G30" s="16"/>
      <c r="H30" s="17" t="str">
        <f t="shared" si="1"/>
        <v/>
      </c>
      <c r="I30" s="18" t="str">
        <f>IF(ROW()&gt;=5, ROUNDUP(SUM($C$5:INDEX($C:$C, ROW()))/$D$1 * 100, 2) &amp; "%", "")</f>
        <v>24.02%</v>
      </c>
    </row>
    <row r="31" spans="1:9" x14ac:dyDescent="0.3">
      <c r="A31" s="14">
        <v>24</v>
      </c>
      <c r="B31" s="9"/>
      <c r="C31" s="10"/>
      <c r="D31" s="15"/>
      <c r="E31" s="16"/>
      <c r="F31" s="15"/>
      <c r="G31" s="16"/>
      <c r="H31" s="17" t="str">
        <f t="shared" si="1"/>
        <v/>
      </c>
      <c r="I31" s="18" t="str">
        <f>IF(ROW()&gt;=5, ROUNDUP(SUM($C$5:INDEX($C:$C, ROW()))/$D$1 * 100, 2) &amp; "%", "")</f>
        <v>24.02%</v>
      </c>
    </row>
    <row r="32" spans="1:9" x14ac:dyDescent="0.3">
      <c r="A32" s="14">
        <v>25</v>
      </c>
      <c r="B32" s="9"/>
      <c r="C32" s="10"/>
      <c r="D32" s="15"/>
      <c r="E32" s="16"/>
      <c r="F32" s="15"/>
      <c r="G32" s="16"/>
      <c r="H32" s="17" t="str">
        <f t="shared" si="1"/>
        <v/>
      </c>
      <c r="I32" s="18" t="str">
        <f>IF(ROW()&gt;=5, ROUNDUP(SUM($C$5:INDEX($C:$C, ROW()))/$D$1 * 100, 2) &amp; "%", "")</f>
        <v>24.02%</v>
      </c>
    </row>
    <row r="33" spans="1:9" x14ac:dyDescent="0.3">
      <c r="A33" s="14">
        <v>26</v>
      </c>
      <c r="B33" s="9"/>
      <c r="C33" s="10"/>
      <c r="D33" s="15"/>
      <c r="E33" s="16"/>
      <c r="F33" s="15"/>
      <c r="G33" s="16"/>
      <c r="H33" s="17" t="str">
        <f t="shared" si="1"/>
        <v/>
      </c>
      <c r="I33" s="18" t="str">
        <f>IF(ROW()&gt;=5, ROUNDUP(SUM($C$5:INDEX($C:$C, ROW()))/$D$1 * 100, 2) &amp; "%", "")</f>
        <v>24.02%</v>
      </c>
    </row>
    <row r="34" spans="1:9" x14ac:dyDescent="0.3">
      <c r="A34" s="14">
        <v>27</v>
      </c>
      <c r="B34" s="9"/>
      <c r="C34" s="10"/>
      <c r="D34" s="15"/>
      <c r="E34" s="16"/>
      <c r="F34" s="15"/>
      <c r="G34" s="16"/>
      <c r="H34" s="17" t="str">
        <f t="shared" si="1"/>
        <v/>
      </c>
      <c r="I34" s="18" t="str">
        <f>IF(ROW()&gt;=5, ROUNDUP(SUM($C$5:INDEX($C:$C, ROW()))/$D$1 * 100, 2) &amp; "%", "")</f>
        <v>24.02%</v>
      </c>
    </row>
    <row r="35" spans="1:9" x14ac:dyDescent="0.3">
      <c r="A35" s="14">
        <v>28</v>
      </c>
      <c r="B35" s="9"/>
      <c r="C35" s="10"/>
      <c r="D35" s="15"/>
      <c r="E35" s="16"/>
      <c r="F35" s="15"/>
      <c r="G35" s="16"/>
      <c r="H35" s="17" t="str">
        <f t="shared" si="1"/>
        <v/>
      </c>
      <c r="I35" s="18" t="str">
        <f>IF(ROW()&gt;=5, ROUNDUP(SUM($C$5:INDEX($C:$C, ROW()))/$D$1 * 100, 2) &amp; "%", "")</f>
        <v>24.02%</v>
      </c>
    </row>
    <row r="36" spans="1:9" x14ac:dyDescent="0.3">
      <c r="A36" s="14"/>
      <c r="B36" s="18"/>
      <c r="C36" s="18"/>
      <c r="D36" s="19"/>
      <c r="E36" s="19"/>
      <c r="F36" s="19"/>
      <c r="G36" s="19"/>
      <c r="H36" s="17"/>
      <c r="I36" s="18"/>
    </row>
    <row r="37" spans="1:9" x14ac:dyDescent="0.3">
      <c r="A37" s="14">
        <v>29</v>
      </c>
      <c r="B37" s="9"/>
      <c r="C37" s="10"/>
      <c r="D37" s="15"/>
      <c r="E37" s="16"/>
      <c r="F37" s="15"/>
      <c r="G37" s="16"/>
      <c r="H37" s="17" t="str">
        <f t="shared" si="1"/>
        <v/>
      </c>
      <c r="I37" s="18" t="str">
        <f>IF(ROW()&gt;=5, ROUNDUP(SUM($C$5:INDEX($C:$C, ROW()))/$D$1 * 100, 2) &amp; "%", "")</f>
        <v>24.02%</v>
      </c>
    </row>
    <row r="38" spans="1:9" x14ac:dyDescent="0.3">
      <c r="A38" s="14">
        <v>30</v>
      </c>
      <c r="B38" s="9"/>
      <c r="C38" s="10"/>
      <c r="D38" s="15"/>
      <c r="E38" s="16"/>
      <c r="F38" s="15"/>
      <c r="G38" s="16"/>
      <c r="H38" s="17" t="str">
        <f t="shared" si="1"/>
        <v/>
      </c>
      <c r="I38" s="18" t="str">
        <f>IF(ROW()&gt;=5, ROUNDUP(SUM($C$5:INDEX($C:$C, ROW()))/$D$1 * 100, 2) &amp; "%", "")</f>
        <v>24.02%</v>
      </c>
    </row>
    <row r="39" spans="1:9" x14ac:dyDescent="0.3">
      <c r="A39" s="14">
        <v>31</v>
      </c>
      <c r="B39" s="9"/>
      <c r="C39" s="10"/>
      <c r="D39" s="15"/>
      <c r="E39" s="16"/>
      <c r="F39" s="15"/>
      <c r="G39" s="16"/>
      <c r="H39" s="17" t="str">
        <f t="shared" si="1"/>
        <v/>
      </c>
      <c r="I39" s="18" t="str">
        <f>IF(ROW()&gt;=5, ROUNDUP(SUM($C$5:INDEX($C:$C, ROW()))/$D$1 * 100, 2) &amp; "%", "")</f>
        <v>24.02%</v>
      </c>
    </row>
  </sheetData>
  <mergeCells count="3">
    <mergeCell ref="A1:C2"/>
    <mergeCell ref="D1:G2"/>
    <mergeCell ref="H1:I2"/>
  </mergeCells>
  <conditionalFormatting sqref="H5:H39">
    <cfRule type="expression" dxfId="1" priority="1">
      <formula>($C5/$B5)&lt;1</formula>
    </cfRule>
    <cfRule type="expression" dxfId="0" priority="2">
      <formula>($C5/$B5)&gt;=1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F3:G12"/>
  <sheetViews>
    <sheetView workbookViewId="0">
      <selection activeCell="G18" sqref="G18"/>
    </sheetView>
  </sheetViews>
  <sheetFormatPr defaultRowHeight="14.4" x14ac:dyDescent="0.3"/>
  <cols>
    <col min="6" max="6" width="63.6640625" bestFit="1" customWidth="1"/>
    <col min="7" max="7" width="35.88671875" customWidth="1"/>
  </cols>
  <sheetData>
    <row r="3" spans="6:7" ht="15" thickBot="1" x14ac:dyDescent="0.35"/>
    <row r="4" spans="6:7" ht="33" customHeight="1" thickBot="1" x14ac:dyDescent="0.35">
      <c r="F4" s="1" t="s">
        <v>5</v>
      </c>
      <c r="G4" s="7" t="str">
        <f ca="1">TEXT(TODAY(), "yyyy.mm.dd")</f>
        <v>2025.08.08</v>
      </c>
    </row>
    <row r="5" spans="6:7" ht="30" customHeight="1" thickBot="1" x14ac:dyDescent="0.35">
      <c r="F5" s="2" t="s">
        <v>0</v>
      </c>
      <c r="G5" s="5">
        <v>692939.09</v>
      </c>
    </row>
    <row r="6" spans="6:7" ht="30" customHeight="1" thickBot="1" x14ac:dyDescent="0.35">
      <c r="F6" s="2" t="s">
        <v>1</v>
      </c>
      <c r="G6" s="5">
        <v>656150.39</v>
      </c>
    </row>
    <row r="7" spans="6:7" ht="30" customHeight="1" thickBot="1" x14ac:dyDescent="0.35">
      <c r="F7" s="2" t="s">
        <v>3</v>
      </c>
      <c r="G7" s="12">
        <v>98.993380260796329</v>
      </c>
    </row>
    <row r="8" spans="6:7" ht="30" customHeight="1" thickBot="1" x14ac:dyDescent="0.35">
      <c r="F8" s="2" t="s">
        <v>4</v>
      </c>
      <c r="G8" s="4">
        <f>SUM(TARGET!C5:C39)/TARGET!D1</f>
        <v>0.24012269348075074</v>
      </c>
    </row>
    <row r="9" spans="6:7" ht="30" customHeight="1" thickBot="1" x14ac:dyDescent="0.35">
      <c r="F9" s="2" t="s">
        <v>8</v>
      </c>
      <c r="G9" s="3" t="s">
        <v>9</v>
      </c>
    </row>
    <row r="10" spans="6:7" ht="30" customHeight="1" thickBot="1" x14ac:dyDescent="0.35">
      <c r="F10" s="2" t="s">
        <v>7</v>
      </c>
      <c r="G10" s="3">
        <v>6</v>
      </c>
    </row>
    <row r="11" spans="6:7" ht="30" customHeight="1" thickBot="1" x14ac:dyDescent="0.35">
      <c r="F11" s="2" t="s">
        <v>6</v>
      </c>
      <c r="G11" s="3">
        <v>146</v>
      </c>
    </row>
    <row r="12" spans="6:7" ht="29.4" customHeight="1" thickBot="1" x14ac:dyDescent="0.35">
      <c r="F12" s="2" t="s">
        <v>2</v>
      </c>
      <c r="G12" s="3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orningMsg_TodayYesterday_Achievement">
                <anchor moveWithCells="1" sizeWithCells="1">
                  <from>
                    <xdr:col>0</xdr:col>
                    <xdr:colOff>198120</xdr:colOff>
                    <xdr:row>1</xdr:row>
                    <xdr:rowOff>167640</xdr:rowOff>
                  </from>
                  <to>
                    <xdr:col>4</xdr:col>
                    <xdr:colOff>205740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Morning 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Dineth Pansilu</cp:lastModifiedBy>
  <dcterms:created xsi:type="dcterms:W3CDTF">2025-01-12T19:07:55Z</dcterms:created>
  <dcterms:modified xsi:type="dcterms:W3CDTF">2025-08-08T06:53:26Z</dcterms:modified>
</cp:coreProperties>
</file>