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Li Super\Desktop\"/>
    </mc:Choice>
  </mc:AlternateContent>
  <bookViews>
    <workbookView xWindow="0" yWindow="0" windowWidth="20250" windowHeight="7470" activeTab="1"/>
  </bookViews>
  <sheets>
    <sheet name="TARGET" sheetId="3" r:id="rId1"/>
    <sheet name="Morning Msg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3" l="1"/>
  <c r="K40" i="3"/>
  <c r="K32" i="3"/>
  <c r="K24" i="3"/>
  <c r="K16" i="3"/>
  <c r="K8" i="3"/>
  <c r="J24" i="3"/>
  <c r="J16" i="3"/>
  <c r="J40" i="3"/>
  <c r="J32" i="3"/>
  <c r="J8" i="3"/>
  <c r="H4" i="3"/>
  <c r="H17" i="3"/>
  <c r="H18" i="3"/>
  <c r="H19" i="3"/>
  <c r="H20" i="3"/>
  <c r="H21" i="3"/>
  <c r="H22" i="3"/>
  <c r="H24" i="3"/>
  <c r="H25" i="3"/>
  <c r="H26" i="3"/>
  <c r="H27" i="3"/>
  <c r="H28" i="3"/>
  <c r="H29" i="3"/>
  <c r="H30" i="3"/>
  <c r="H32" i="3"/>
  <c r="H33" i="3"/>
  <c r="H34" i="3"/>
  <c r="H35" i="3"/>
  <c r="H36" i="3"/>
  <c r="H37" i="3"/>
  <c r="H38" i="3"/>
  <c r="H40" i="3"/>
  <c r="H41" i="3"/>
  <c r="H42" i="3"/>
  <c r="H8" i="3"/>
  <c r="H9" i="3"/>
  <c r="H10" i="3"/>
  <c r="H11" i="3"/>
  <c r="H12" i="3"/>
  <c r="H13" i="3"/>
  <c r="H14" i="3"/>
  <c r="H16" i="3"/>
  <c r="I17" i="3"/>
  <c r="I18" i="3"/>
  <c r="I19" i="3"/>
  <c r="I20" i="3"/>
  <c r="I21" i="3"/>
  <c r="I22" i="3"/>
  <c r="I24" i="3"/>
  <c r="I25" i="3"/>
  <c r="I26" i="3"/>
  <c r="I27" i="3"/>
  <c r="I28" i="3"/>
  <c r="I29" i="3"/>
  <c r="I30" i="3"/>
  <c r="I32" i="3"/>
  <c r="I33" i="3"/>
  <c r="I34" i="3"/>
  <c r="I35" i="3"/>
  <c r="I36" i="3"/>
  <c r="I37" i="3"/>
  <c r="I38" i="3"/>
  <c r="I40" i="3"/>
  <c r="I41" i="3"/>
  <c r="I42" i="3"/>
  <c r="I9" i="3"/>
  <c r="I10" i="3"/>
  <c r="I11" i="3"/>
  <c r="I12" i="3"/>
  <c r="I13" i="3"/>
  <c r="I14" i="3"/>
  <c r="I16" i="3"/>
  <c r="I8" i="3"/>
  <c r="G4" i="2"/>
</calcChain>
</file>

<file path=xl/sharedStrings.xml><?xml version="1.0" encoding="utf-8"?>
<sst xmlns="http://schemas.openxmlformats.org/spreadsheetml/2006/main" count="56" uniqueCount="41">
  <si>
    <t>Yesterday Sale</t>
  </si>
  <si>
    <t>Today Target</t>
  </si>
  <si>
    <t>Today Perpetual Stock Count</t>
  </si>
  <si>
    <t>Yesterday Achievement</t>
  </si>
  <si>
    <t>Monthly Achievement</t>
  </si>
  <si>
    <t>Good Morning - FLI Hunupitiya</t>
  </si>
  <si>
    <t>Minus Qty</t>
  </si>
  <si>
    <t>DSD (yesterday)</t>
  </si>
  <si>
    <t>CPU (warehouse) - Yes/No</t>
  </si>
  <si>
    <t>YES</t>
  </si>
  <si>
    <t>BEVERAGES</t>
  </si>
  <si>
    <t>DATE</t>
  </si>
  <si>
    <t>TARGET</t>
  </si>
  <si>
    <t>ACHIVEMENT</t>
  </si>
  <si>
    <t xml:space="preserve">TOTAL TARGET of MONTH = </t>
  </si>
  <si>
    <t>WAREHOUSE</t>
  </si>
  <si>
    <t>DSD</t>
  </si>
  <si>
    <t>MINUS QTY</t>
  </si>
  <si>
    <t>PERPERTUAL</t>
  </si>
  <si>
    <t>BREAKFAST CERIAL</t>
  </si>
  <si>
    <t>3</t>
  </si>
  <si>
    <t>103</t>
  </si>
  <si>
    <t>CONDIMANT &amp; SAUCE</t>
  </si>
  <si>
    <t>2</t>
  </si>
  <si>
    <t>98</t>
  </si>
  <si>
    <t>CONVENIENCE FOOD</t>
  </si>
  <si>
    <t>ACHIVEMENT PRECENTAGE</t>
  </si>
  <si>
    <t>MONTHLY ACHIVEMENT</t>
  </si>
  <si>
    <t>NO</t>
  </si>
  <si>
    <t>101</t>
  </si>
  <si>
    <t>0</t>
  </si>
  <si>
    <t>WEEKLY TARGET</t>
  </si>
  <si>
    <t>+ / - TARGET</t>
  </si>
  <si>
    <t>FILL BROWN AND YELLOW CELLS ONLY</t>
  </si>
  <si>
    <t>4</t>
  </si>
  <si>
    <t>102</t>
  </si>
  <si>
    <t>BAKERY</t>
  </si>
  <si>
    <t>124</t>
  </si>
  <si>
    <t>6</t>
  </si>
  <si>
    <t>134</t>
  </si>
  <si>
    <t>BABY 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</si>
</sst>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0\%"/>
  </numFmts>
  <fonts count="11" x14ac:knownFonts="1">
    <font>
      <sz val="11"/>
      <color theme="1"/>
      <name val="Calibri"/>
      <family val="2"/>
      <scheme val="minor"/>
    </font>
    <font>
      <b/>
      <sz val="20"/>
      <color theme="0"/>
      <name val="Tahoma"/>
      <family val="2"/>
    </font>
    <font>
      <b/>
      <sz val="20"/>
      <color theme="1"/>
      <name val="Tahoma"/>
      <family val="2"/>
    </font>
    <font>
      <b/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48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rgb="FFFF00FF"/>
      <name val="Calibri"/>
      <family val="2"/>
      <scheme val="minor"/>
    </font>
    <font>
      <b/>
      <sz val="2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3" fontId="0" fillId="4" borderId="2" xfId="0" applyNumberFormat="1" applyFill="1" applyBorder="1"/>
    <xf numFmtId="43" fontId="0" fillId="3" borderId="2" xfId="0" applyNumberFormat="1" applyFill="1" applyBorder="1"/>
    <xf numFmtId="0" fontId="4" fillId="0" borderId="0" xfId="0" applyFont="1"/>
    <xf numFmtId="164" fontId="3" fillId="0" borderId="1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/>
    <xf numFmtId="49" fontId="0" fillId="4" borderId="2" xfId="0" applyNumberForma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3" fontId="0" fillId="0" borderId="2" xfId="0" applyNumberFormat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0" fillId="0" borderId="2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4" fillId="0" borderId="5" xfId="0" applyNumberFormat="1" applyFont="1" applyBorder="1"/>
    <xf numFmtId="4" fontId="0" fillId="0" borderId="2" xfId="0" applyNumberForma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" fontId="7" fillId="2" borderId="0" xfId="0" applyNumberFormat="1" applyFont="1" applyFill="1" applyAlignment="1">
      <alignment horizontal="center" vertical="center"/>
    </xf>
    <xf numFmtId="4" fontId="8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4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BB56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133350</xdr:rowOff>
        </xdr:from>
        <xdr:to>
          <xdr:col>10</xdr:col>
          <xdr:colOff>1085850</xdr:colOff>
          <xdr:row>4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</xdr:row>
          <xdr:rowOff>171450</xdr:rowOff>
        </xdr:from>
        <xdr:to>
          <xdr:col>4</xdr:col>
          <xdr:colOff>209550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2"/>
  <sheetViews>
    <sheetView topLeftCell="A17" workbookViewId="0">
      <selection activeCell="G22" sqref="G22"/>
    </sheetView>
  </sheetViews>
  <sheetFormatPr defaultRowHeight="15" x14ac:dyDescent="0.25"/>
  <cols>
    <col min="1" max="1" width="5.42578125" style="11" bestFit="1" customWidth="1"/>
    <col min="2" max="2" width="20.7109375" customWidth="1"/>
    <col min="3" max="3" width="25.42578125" customWidth="1"/>
    <col min="4" max="4" width="16.85546875" customWidth="1"/>
    <col min="5" max="5" width="15.85546875" customWidth="1"/>
    <col min="6" max="6" width="15.5703125" customWidth="1"/>
    <col min="7" max="7" width="21.28515625" customWidth="1"/>
    <col min="8" max="8" width="24.28515625" bestFit="1" customWidth="1"/>
    <col min="9" max="9" width="21.7109375" bestFit="1" customWidth="1"/>
    <col min="10" max="10" width="19" customWidth="1"/>
    <col min="11" max="11" width="17" customWidth="1"/>
  </cols>
  <sheetData>
    <row r="1" spans="1:11" x14ac:dyDescent="0.25">
      <c r="B1" s="27" t="s">
        <v>33</v>
      </c>
      <c r="C1" s="27"/>
      <c r="D1" s="27"/>
      <c r="E1" s="27"/>
      <c r="F1" s="27"/>
      <c r="G1" s="27"/>
      <c r="H1" s="27"/>
      <c r="I1" s="27"/>
      <c r="J1" s="27"/>
    </row>
    <row r="2" spans="1:11" x14ac:dyDescent="0.25">
      <c r="B2" s="27"/>
      <c r="C2" s="27"/>
      <c r="D2" s="27"/>
      <c r="E2" s="27"/>
      <c r="F2" s="27"/>
      <c r="G2" s="27"/>
      <c r="H2" s="27"/>
      <c r="I2" s="27"/>
      <c r="J2" s="27"/>
    </row>
    <row r="4" spans="1:11" ht="14.45" customHeight="1" x14ac:dyDescent="0.25">
      <c r="A4" s="28" t="s">
        <v>14</v>
      </c>
      <c r="B4" s="28"/>
      <c r="C4" s="28"/>
      <c r="D4" s="29">
        <v>22801726.57</v>
      </c>
      <c r="E4" s="29"/>
      <c r="F4" s="29"/>
      <c r="G4" s="29"/>
      <c r="H4" s="30" t="str">
        <f ca="1">TEXT(TODAY(), "mmmm")</f>
        <v>August</v>
      </c>
      <c r="I4" s="30"/>
    </row>
    <row r="5" spans="1:11" ht="14.45" customHeight="1" x14ac:dyDescent="0.25">
      <c r="A5" s="28"/>
      <c r="B5" s="28"/>
      <c r="C5" s="28"/>
      <c r="D5" s="29"/>
      <c r="E5" s="29"/>
      <c r="F5" s="29"/>
      <c r="G5" s="29"/>
      <c r="H5" s="30"/>
      <c r="I5" s="30"/>
    </row>
    <row r="6" spans="1:11" x14ac:dyDescent="0.25">
      <c r="A6" s="6"/>
      <c r="B6" s="6"/>
      <c r="C6" s="6"/>
      <c r="D6" s="6"/>
      <c r="E6" s="8"/>
      <c r="F6" s="8"/>
      <c r="G6" s="8"/>
      <c r="H6" s="8"/>
    </row>
    <row r="7" spans="1:11" x14ac:dyDescent="0.25">
      <c r="A7" s="13" t="s">
        <v>11</v>
      </c>
      <c r="B7" s="13" t="s">
        <v>12</v>
      </c>
      <c r="C7" s="13" t="s">
        <v>13</v>
      </c>
      <c r="D7" s="13" t="s">
        <v>15</v>
      </c>
      <c r="E7" s="13" t="s">
        <v>16</v>
      </c>
      <c r="F7" s="13" t="s">
        <v>17</v>
      </c>
      <c r="G7" s="13" t="s">
        <v>18</v>
      </c>
      <c r="H7" s="13" t="s">
        <v>26</v>
      </c>
      <c r="I7" s="13" t="s">
        <v>27</v>
      </c>
      <c r="J7" s="13" t="s">
        <v>31</v>
      </c>
      <c r="K7" s="19" t="s">
        <v>32</v>
      </c>
    </row>
    <row r="8" spans="1:11" x14ac:dyDescent="0.25">
      <c r="A8" s="14">
        <v>1</v>
      </c>
      <c r="B8" s="9">
        <v>679440</v>
      </c>
      <c r="C8" s="10">
        <v>742684.45</v>
      </c>
      <c r="D8" s="15"/>
      <c r="E8" s="16"/>
      <c r="F8" s="15"/>
      <c r="G8" s="16"/>
      <c r="H8" s="23" t="str">
        <f t="shared" ref="H8:H14" si="0">IF(OR(B8=0, ISBLANK(B8), ISBLANK(C8)), "", ROUNDUP(C8/B8 * 100, 2) &amp; "%")</f>
        <v>109.31%</v>
      </c>
      <c r="I8" s="17" t="str">
        <f>IF(ROW()&gt;=5, ROUNDUP(SUM($C$8:INDEX($C:$C, ROW()))/$D$4 * 100, 2) &amp; "%", "")</f>
        <v>3.26%</v>
      </c>
      <c r="J8" s="26">
        <f>SUM(B8:B14)</f>
        <v>4954259.4000000004</v>
      </c>
      <c r="K8" s="26">
        <f>SUM(C8:C14)-SUM(B8:B14)</f>
        <v>520952.59999999963</v>
      </c>
    </row>
    <row r="9" spans="1:11" x14ac:dyDescent="0.25">
      <c r="A9" s="14">
        <v>2</v>
      </c>
      <c r="B9" s="9">
        <v>691597.97</v>
      </c>
      <c r="C9" s="10">
        <v>908115.55</v>
      </c>
      <c r="D9" s="15"/>
      <c r="E9" s="16"/>
      <c r="F9" s="15"/>
      <c r="G9" s="16"/>
      <c r="H9" s="23" t="str">
        <f t="shared" si="0"/>
        <v>131.31%</v>
      </c>
      <c r="I9" s="17" t="str">
        <f>IF(ROW()&gt;=5, ROUNDUP(SUM($C$8:INDEX($C:$C, ROW()))/$D$4 * 100, 2) &amp; "%", "")</f>
        <v>7.24%</v>
      </c>
      <c r="J9" s="26"/>
      <c r="K9" s="26"/>
    </row>
    <row r="10" spans="1:11" x14ac:dyDescent="0.25">
      <c r="A10" s="14">
        <v>3</v>
      </c>
      <c r="B10" s="9">
        <v>695280.85</v>
      </c>
      <c r="C10" s="10">
        <v>1013210.53</v>
      </c>
      <c r="D10" s="15"/>
      <c r="E10" s="16"/>
      <c r="F10" s="15"/>
      <c r="G10" s="16"/>
      <c r="H10" s="23" t="str">
        <f t="shared" si="0"/>
        <v>145.73%</v>
      </c>
      <c r="I10" s="17" t="str">
        <f>IF(ROW()&gt;=5, ROUNDUP(SUM($C$8:INDEX($C:$C, ROW()))/$D$4 * 100, 2) &amp; "%", "")</f>
        <v>11.69%</v>
      </c>
      <c r="J10" s="26"/>
      <c r="K10" s="26"/>
    </row>
    <row r="11" spans="1:11" x14ac:dyDescent="0.25">
      <c r="A11" s="14">
        <v>4</v>
      </c>
      <c r="B11" s="9">
        <v>740155.3</v>
      </c>
      <c r="C11" s="10">
        <v>721967.36</v>
      </c>
      <c r="D11" s="15" t="s">
        <v>9</v>
      </c>
      <c r="E11" s="16" t="s">
        <v>23</v>
      </c>
      <c r="F11" s="15"/>
      <c r="G11" s="16"/>
      <c r="H11" s="23" t="str">
        <f t="shared" si="0"/>
        <v>97.55%</v>
      </c>
      <c r="I11" s="17" t="str">
        <f>IF(ROW()&gt;=5, ROUNDUP(SUM($C$8:INDEX($C:$C, ROW()))/$D$4 * 100, 2) &amp; "%", "")</f>
        <v>14.85%</v>
      </c>
      <c r="J11" s="26"/>
      <c r="K11" s="26"/>
    </row>
    <row r="12" spans="1:11" x14ac:dyDescent="0.25">
      <c r="A12" s="14">
        <v>5</v>
      </c>
      <c r="B12" s="9">
        <v>718200</v>
      </c>
      <c r="C12" s="10">
        <v>746032.53</v>
      </c>
      <c r="D12" s="15" t="s">
        <v>9</v>
      </c>
      <c r="E12" s="16" t="s">
        <v>20</v>
      </c>
      <c r="F12" s="15" t="s">
        <v>24</v>
      </c>
      <c r="G12" s="16" t="s">
        <v>25</v>
      </c>
      <c r="H12" s="23" t="str">
        <f t="shared" si="0"/>
        <v>103.88%</v>
      </c>
      <c r="I12" s="17" t="str">
        <f>IF(ROW()&gt;=5, ROUNDUP(SUM($C$8:INDEX($C:$C, ROW()))/$D$4 * 100, 2) &amp; "%", "")</f>
        <v>18.13%</v>
      </c>
      <c r="J12" s="26"/>
      <c r="K12" s="26"/>
    </row>
    <row r="13" spans="1:11" x14ac:dyDescent="0.25">
      <c r="A13" s="14">
        <v>6</v>
      </c>
      <c r="B13" s="9">
        <v>729600</v>
      </c>
      <c r="C13" s="10">
        <v>587078.04</v>
      </c>
      <c r="D13" s="15" t="s">
        <v>9</v>
      </c>
      <c r="E13" s="16">
        <v>6</v>
      </c>
      <c r="F13" s="15" t="s">
        <v>21</v>
      </c>
      <c r="G13" s="16" t="s">
        <v>22</v>
      </c>
      <c r="H13" s="23" t="str">
        <f t="shared" si="0"/>
        <v>80.47%</v>
      </c>
      <c r="I13" s="17" t="str">
        <f>IF(ROW()&gt;=5, ROUNDUP(SUM($C$8:INDEX($C:$C, ROW()))/$D$4 * 100, 2) &amp; "%", "")</f>
        <v>20.7%</v>
      </c>
      <c r="J13" s="26"/>
      <c r="K13" s="26"/>
    </row>
    <row r="14" spans="1:11" x14ac:dyDescent="0.25">
      <c r="A14" s="14">
        <v>7</v>
      </c>
      <c r="B14" s="9">
        <v>699985.28</v>
      </c>
      <c r="C14" s="10">
        <v>756123.54</v>
      </c>
      <c r="D14" s="15" t="s">
        <v>9</v>
      </c>
      <c r="E14" s="16">
        <v>6</v>
      </c>
      <c r="F14" s="15">
        <v>133</v>
      </c>
      <c r="G14" s="16" t="s">
        <v>19</v>
      </c>
      <c r="H14" s="23" t="str">
        <f t="shared" si="0"/>
        <v>108.02%</v>
      </c>
      <c r="I14" s="17" t="str">
        <f>IF(ROW()&gt;=5, ROUNDUP(SUM($C$8:INDEX($C:$C, ROW()))/$D$4 * 100, 2) &amp; "%", "")</f>
        <v>24.02%</v>
      </c>
      <c r="J14" s="26"/>
      <c r="K14" s="26"/>
    </row>
    <row r="15" spans="1:11" x14ac:dyDescent="0.25">
      <c r="A15" s="20"/>
      <c r="B15" s="21"/>
      <c r="C15" s="21"/>
      <c r="D15" s="21"/>
      <c r="E15" s="21"/>
      <c r="F15" s="21"/>
      <c r="G15" s="21"/>
      <c r="H15" s="24"/>
      <c r="I15" s="24"/>
      <c r="J15" s="21"/>
      <c r="K15" s="25"/>
    </row>
    <row r="16" spans="1:11" x14ac:dyDescent="0.25">
      <c r="A16" s="14">
        <v>8</v>
      </c>
      <c r="B16" s="9">
        <v>656150.39</v>
      </c>
      <c r="C16" s="10">
        <v>794657</v>
      </c>
      <c r="D16" s="15" t="s">
        <v>28</v>
      </c>
      <c r="E16" s="16" t="s">
        <v>20</v>
      </c>
      <c r="F16" s="15">
        <v>146</v>
      </c>
      <c r="G16" s="16" t="s">
        <v>10</v>
      </c>
      <c r="H16" s="23" t="str">
        <f>IF(OR(B16=0, ISBLANK(B16), ISBLANK(C16)), "", ROUNDUP(C16/B16 * 100, 2) &amp; "%")</f>
        <v>121.11%</v>
      </c>
      <c r="I16" s="17" t="str">
        <f>IF(ROW()&gt;=5, ROUNDUP(SUM($C$8:INDEX($C:$C, ROW()))/$D$4 * 100, 2) &amp; "%", "")</f>
        <v>27.5%</v>
      </c>
      <c r="J16" s="26">
        <f t="shared" ref="J16" si="1">SUM(B16:B22)</f>
        <v>5609728.0300000003</v>
      </c>
      <c r="K16" s="26">
        <f>SUM(C16:C22) - SUM(B16:B22)</f>
        <v>-1802903.1800000002</v>
      </c>
    </row>
    <row r="17" spans="1:11" x14ac:dyDescent="0.25">
      <c r="A17" s="14">
        <v>9</v>
      </c>
      <c r="B17" s="9">
        <v>824497.64</v>
      </c>
      <c r="C17" s="10">
        <v>772158.5</v>
      </c>
      <c r="D17" s="15" t="s">
        <v>9</v>
      </c>
      <c r="E17" s="16" t="s">
        <v>30</v>
      </c>
      <c r="F17" s="15" t="s">
        <v>29</v>
      </c>
      <c r="G17" s="16" t="s">
        <v>10</v>
      </c>
      <c r="H17" s="23" t="str">
        <f t="shared" ref="H17:H42" si="2">IF(OR(B17=0, ISBLANK(B17), ISBLANK(C17)), "", ROUNDUP(C17/B17 * 100, 2) &amp; "%")</f>
        <v>93.66%</v>
      </c>
      <c r="I17" s="17" t="str">
        <f>IF(ROW()&gt;=5, ROUNDUP(SUM($C$8:INDEX($C:$C, ROW()))/$D$4 * 100, 2) &amp; "%", "")</f>
        <v>30.89%</v>
      </c>
      <c r="J17" s="26"/>
      <c r="K17" s="26"/>
    </row>
    <row r="18" spans="1:11" x14ac:dyDescent="0.25">
      <c r="A18" s="14">
        <v>10</v>
      </c>
      <c r="B18" s="9">
        <v>861840</v>
      </c>
      <c r="C18" s="10">
        <v>764614.61</v>
      </c>
      <c r="D18" s="15" t="s">
        <v>9</v>
      </c>
      <c r="E18" s="16" t="s">
        <v>34</v>
      </c>
      <c r="F18" s="15" t="s">
        <v>21</v>
      </c>
      <c r="G18" s="16" t="s">
        <v>10</v>
      </c>
      <c r="H18" s="23" t="str">
        <f t="shared" si="2"/>
        <v>88.72%</v>
      </c>
      <c r="I18" s="17" t="str">
        <f>IF(ROW()&gt;=5, ROUNDUP(SUM($C$8:INDEX($C:$C, ROW()))/$D$4 * 100, 2) &amp; "%", "")</f>
        <v>34.24%</v>
      </c>
      <c r="J18" s="26"/>
      <c r="K18" s="26"/>
    </row>
    <row r="19" spans="1:11" x14ac:dyDescent="0.25">
      <c r="A19" s="14">
        <v>11</v>
      </c>
      <c r="B19" s="9">
        <v>877800</v>
      </c>
      <c r="C19" s="10">
        <v>755376.33</v>
      </c>
      <c r="D19" s="15" t="s">
        <v>9</v>
      </c>
      <c r="E19" s="16" t="s">
        <v>34</v>
      </c>
      <c r="F19" s="15" t="s">
        <v>35</v>
      </c>
      <c r="G19" s="16" t="s">
        <v>36</v>
      </c>
      <c r="H19" s="23" t="str">
        <f t="shared" si="2"/>
        <v>86.06%</v>
      </c>
      <c r="I19" s="17" t="str">
        <f>IF(ROW()&gt;=5, ROUNDUP(SUM($C$8:INDEX($C:$C, ROW()))/$D$4 * 100, 2) &amp; "%", "")</f>
        <v>37.55%</v>
      </c>
      <c r="J19" s="26"/>
      <c r="K19" s="26"/>
    </row>
    <row r="20" spans="1:11" x14ac:dyDescent="0.25">
      <c r="A20" s="14">
        <v>12</v>
      </c>
      <c r="B20" s="9">
        <v>839040</v>
      </c>
      <c r="C20" s="10">
        <v>720018.41</v>
      </c>
      <c r="D20" s="15" t="s">
        <v>28</v>
      </c>
      <c r="E20" s="16" t="s">
        <v>38</v>
      </c>
      <c r="F20" s="15" t="s">
        <v>37</v>
      </c>
      <c r="G20" s="16" t="s">
        <v>36</v>
      </c>
      <c r="H20" s="23" t="str">
        <f t="shared" si="2"/>
        <v>85.82%</v>
      </c>
      <c r="I20" s="17" t="str">
        <f>IF(ROW()&gt;=5, ROUNDUP(SUM($C$8:INDEX($C:$C, ROW()))/$D$4 * 100, 2) &amp; "%", "")</f>
        <v>40.71%</v>
      </c>
      <c r="J20" s="26"/>
      <c r="K20" s="26"/>
    </row>
    <row r="21" spans="1:11" x14ac:dyDescent="0.25">
      <c r="A21" s="14">
        <v>13</v>
      </c>
      <c r="B21" s="9">
        <v>877800</v>
      </c>
      <c r="C21" s="10"/>
      <c r="D21" s="15"/>
      <c r="E21" s="16"/>
      <c r="F21" s="15" t="s">
        <v>39</v>
      </c>
      <c r="G21" s="16" t="s">
        <v>40</v>
      </c>
      <c r="H21" s="23" t="str">
        <f t="shared" si="2"/>
        <v/>
      </c>
      <c r="I21" s="17" t="str">
        <f>IF(ROW()&gt;=5, ROUNDUP(SUM($C$8:INDEX($C:$C, ROW()))/$D$4 * 100, 2) &amp; "%", "")</f>
        <v>40.71%</v>
      </c>
      <c r="J21" s="26"/>
      <c r="K21" s="26"/>
    </row>
    <row r="22" spans="1:11" x14ac:dyDescent="0.25">
      <c r="A22" s="14">
        <v>14</v>
      </c>
      <c r="B22" s="9">
        <v>672600</v>
      </c>
      <c r="C22" s="10"/>
      <c r="D22" s="15"/>
      <c r="E22" s="16"/>
      <c r="F22" s="15"/>
      <c r="G22" s="16"/>
      <c r="H22" s="23" t="str">
        <f t="shared" si="2"/>
        <v/>
      </c>
      <c r="I22" s="17" t="str">
        <f>IF(ROW()&gt;=5, ROUNDUP(SUM($C$8:INDEX($C:$C, ROW()))/$D$4 * 100, 2) &amp; "%", "")</f>
        <v>40.71%</v>
      </c>
      <c r="J22" s="26"/>
      <c r="K22" s="26"/>
    </row>
    <row r="23" spans="1:11" x14ac:dyDescent="0.25">
      <c r="A23" s="20"/>
      <c r="B23" s="21"/>
      <c r="C23" s="21"/>
      <c r="D23" s="21"/>
      <c r="E23" s="21"/>
      <c r="F23" s="21"/>
      <c r="G23" s="21"/>
      <c r="H23" s="24"/>
      <c r="I23" s="24"/>
      <c r="J23" s="22"/>
      <c r="K23" s="18"/>
    </row>
    <row r="24" spans="1:11" x14ac:dyDescent="0.25">
      <c r="A24" s="14">
        <v>15</v>
      </c>
      <c r="B24" s="9">
        <v>711405.34</v>
      </c>
      <c r="C24" s="10"/>
      <c r="D24" s="15"/>
      <c r="E24" s="16"/>
      <c r="F24" s="15"/>
      <c r="G24" s="16"/>
      <c r="H24" s="23" t="str">
        <f t="shared" si="2"/>
        <v/>
      </c>
      <c r="I24" s="17" t="str">
        <f>IF(ROW()&gt;=5, ROUNDUP(SUM($C$8:INDEX($C:$C, ROW()))/$D$4 * 100, 2) &amp; "%", "")</f>
        <v>40.71%</v>
      </c>
      <c r="J24" s="26">
        <f t="shared" ref="J24" si="3">SUM(B24:B30)</f>
        <v>4883192.07</v>
      </c>
      <c r="K24" s="26">
        <f>SUM(C24:C30)-SUM(B24:B30)</f>
        <v>-4883192.07</v>
      </c>
    </row>
    <row r="25" spans="1:11" x14ac:dyDescent="0.25">
      <c r="A25" s="14">
        <v>16</v>
      </c>
      <c r="B25" s="9">
        <v>632626.84</v>
      </c>
      <c r="C25" s="10"/>
      <c r="D25" s="15"/>
      <c r="E25" s="16"/>
      <c r="F25" s="15"/>
      <c r="G25" s="16"/>
      <c r="H25" s="23" t="str">
        <f t="shared" si="2"/>
        <v/>
      </c>
      <c r="I25" s="17" t="str">
        <f>IF(ROW()&gt;=5, ROUNDUP(SUM($C$8:INDEX($C:$C, ROW()))/$D$4 * 100, 2) &amp; "%", "")</f>
        <v>40.71%</v>
      </c>
      <c r="J25" s="26"/>
      <c r="K25" s="26"/>
    </row>
    <row r="26" spans="1:11" x14ac:dyDescent="0.25">
      <c r="A26" s="14">
        <v>17</v>
      </c>
      <c r="B26" s="9">
        <v>668685.6</v>
      </c>
      <c r="C26" s="10"/>
      <c r="D26" s="15"/>
      <c r="E26" s="16"/>
      <c r="F26" s="15"/>
      <c r="G26" s="16"/>
      <c r="H26" s="23" t="str">
        <f t="shared" si="2"/>
        <v/>
      </c>
      <c r="I26" s="17" t="str">
        <f>IF(ROW()&gt;=5, ROUNDUP(SUM($C$8:INDEX($C:$C, ROW()))/$D$4 * 100, 2) &amp; "%", "")</f>
        <v>40.71%</v>
      </c>
      <c r="J26" s="26"/>
      <c r="K26" s="26"/>
    </row>
    <row r="27" spans="1:11" x14ac:dyDescent="0.25">
      <c r="A27" s="14">
        <v>18</v>
      </c>
      <c r="B27" s="9">
        <v>726498.68</v>
      </c>
      <c r="C27" s="10"/>
      <c r="D27" s="15"/>
      <c r="E27" s="16"/>
      <c r="F27" s="15"/>
      <c r="G27" s="16"/>
      <c r="H27" s="23" t="str">
        <f t="shared" si="2"/>
        <v/>
      </c>
      <c r="I27" s="17" t="str">
        <f>IF(ROW()&gt;=5, ROUNDUP(SUM($C$8:INDEX($C:$C, ROW()))/$D$4 * 100, 2) &amp; "%", "")</f>
        <v>40.71%</v>
      </c>
      <c r="J27" s="26"/>
      <c r="K27" s="26"/>
    </row>
    <row r="28" spans="1:11" x14ac:dyDescent="0.25">
      <c r="A28" s="14">
        <v>19</v>
      </c>
      <c r="B28" s="9">
        <v>684807.62</v>
      </c>
      <c r="C28" s="10"/>
      <c r="D28" s="15"/>
      <c r="E28" s="16"/>
      <c r="F28" s="15"/>
      <c r="G28" s="16"/>
      <c r="H28" s="23" t="str">
        <f t="shared" si="2"/>
        <v/>
      </c>
      <c r="I28" s="17" t="str">
        <f>IF(ROW()&gt;=5, ROUNDUP(SUM($C$8:INDEX($C:$C, ROW()))/$D$4 * 100, 2) &amp; "%", "")</f>
        <v>40.71%</v>
      </c>
      <c r="J28" s="26"/>
      <c r="K28" s="26"/>
    </row>
    <row r="29" spans="1:11" x14ac:dyDescent="0.25">
      <c r="A29" s="14">
        <v>20</v>
      </c>
      <c r="B29" s="9">
        <v>729567.99</v>
      </c>
      <c r="C29" s="10"/>
      <c r="D29" s="15"/>
      <c r="E29" s="16"/>
      <c r="F29" s="15"/>
      <c r="G29" s="16"/>
      <c r="H29" s="23" t="str">
        <f t="shared" si="2"/>
        <v/>
      </c>
      <c r="I29" s="17" t="str">
        <f>IF(ROW()&gt;=5, ROUNDUP(SUM($C$8:INDEX($C:$C, ROW()))/$D$4 * 100, 2) &amp; "%", "")</f>
        <v>40.71%</v>
      </c>
      <c r="J29" s="26"/>
      <c r="K29" s="26"/>
    </row>
    <row r="30" spans="1:11" x14ac:dyDescent="0.25">
      <c r="A30" s="14">
        <v>21</v>
      </c>
      <c r="B30" s="9">
        <v>729600</v>
      </c>
      <c r="C30" s="10"/>
      <c r="D30" s="15"/>
      <c r="E30" s="16"/>
      <c r="F30" s="15"/>
      <c r="G30" s="16"/>
      <c r="H30" s="23" t="str">
        <f t="shared" si="2"/>
        <v/>
      </c>
      <c r="I30" s="17" t="str">
        <f>IF(ROW()&gt;=5, ROUNDUP(SUM($C$8:INDEX($C:$C, ROW()))/$D$4 * 100, 2) &amp; "%", "")</f>
        <v>40.71%</v>
      </c>
      <c r="J30" s="26"/>
      <c r="K30" s="26"/>
    </row>
    <row r="31" spans="1:11" x14ac:dyDescent="0.25">
      <c r="A31" s="20"/>
      <c r="B31" s="21"/>
      <c r="C31" s="21"/>
      <c r="D31" s="21"/>
      <c r="E31" s="21"/>
      <c r="F31" s="21"/>
      <c r="G31" s="21"/>
      <c r="H31" s="24"/>
      <c r="I31" s="24"/>
      <c r="J31" s="22"/>
      <c r="K31" s="18"/>
    </row>
    <row r="32" spans="1:11" x14ac:dyDescent="0.25">
      <c r="A32" s="14">
        <v>22</v>
      </c>
      <c r="B32" s="9">
        <v>728340.97</v>
      </c>
      <c r="C32" s="10"/>
      <c r="D32" s="15"/>
      <c r="E32" s="16"/>
      <c r="F32" s="15"/>
      <c r="G32" s="16"/>
      <c r="H32" s="23" t="str">
        <f t="shared" si="2"/>
        <v/>
      </c>
      <c r="I32" s="17" t="str">
        <f>IF(ROW()&gt;=5, ROUNDUP(SUM($C$8:INDEX($C:$C, ROW()))/$D$4 * 100, 2) &amp; "%", "")</f>
        <v>40.71%</v>
      </c>
      <c r="J32" s="26">
        <f t="shared" ref="J32" si="4">SUM(B32:B38)</f>
        <v>5166018.95</v>
      </c>
      <c r="K32" s="26">
        <f>SUM(C32:C38)-SUM(B32:B38)</f>
        <v>-5166018.95</v>
      </c>
    </row>
    <row r="33" spans="1:11" x14ac:dyDescent="0.25">
      <c r="A33" s="14">
        <v>23</v>
      </c>
      <c r="B33" s="9">
        <v>634336.76</v>
      </c>
      <c r="C33" s="10"/>
      <c r="D33" s="15"/>
      <c r="E33" s="16"/>
      <c r="F33" s="15"/>
      <c r="G33" s="16"/>
      <c r="H33" s="23" t="str">
        <f t="shared" si="2"/>
        <v/>
      </c>
      <c r="I33" s="17" t="str">
        <f>IF(ROW()&gt;=5, ROUNDUP(SUM($C$8:INDEX($C:$C, ROW()))/$D$4 * 100, 2) &amp; "%", "")</f>
        <v>40.71%</v>
      </c>
      <c r="J33" s="26"/>
      <c r="K33" s="26"/>
    </row>
    <row r="34" spans="1:11" x14ac:dyDescent="0.25">
      <c r="A34" s="14">
        <v>24</v>
      </c>
      <c r="B34" s="9">
        <v>718200</v>
      </c>
      <c r="C34" s="10"/>
      <c r="D34" s="15"/>
      <c r="E34" s="16"/>
      <c r="F34" s="15"/>
      <c r="G34" s="16"/>
      <c r="H34" s="23" t="str">
        <f t="shared" si="2"/>
        <v/>
      </c>
      <c r="I34" s="17" t="str">
        <f>IF(ROW()&gt;=5, ROUNDUP(SUM($C$8:INDEX($C:$C, ROW()))/$D$4 * 100, 2) &amp; "%", "")</f>
        <v>40.71%</v>
      </c>
      <c r="J34" s="26"/>
      <c r="K34" s="26"/>
    </row>
    <row r="35" spans="1:11" x14ac:dyDescent="0.25">
      <c r="A35" s="14">
        <v>25</v>
      </c>
      <c r="B35" s="9">
        <v>819396.76</v>
      </c>
      <c r="C35" s="10"/>
      <c r="D35" s="15"/>
      <c r="E35" s="16"/>
      <c r="F35" s="15"/>
      <c r="G35" s="16"/>
      <c r="H35" s="23" t="str">
        <f t="shared" si="2"/>
        <v/>
      </c>
      <c r="I35" s="17" t="str">
        <f>IF(ROW()&gt;=5, ROUNDUP(SUM($C$8:INDEX($C:$C, ROW()))/$D$4 * 100, 2) &amp; "%", "")</f>
        <v>40.71%</v>
      </c>
      <c r="J35" s="26"/>
      <c r="K35" s="26"/>
    </row>
    <row r="36" spans="1:11" x14ac:dyDescent="0.25">
      <c r="A36" s="14">
        <v>26</v>
      </c>
      <c r="B36" s="9">
        <v>759804.46</v>
      </c>
      <c r="C36" s="10"/>
      <c r="D36" s="15"/>
      <c r="E36" s="16"/>
      <c r="F36" s="15"/>
      <c r="G36" s="16"/>
      <c r="H36" s="23" t="str">
        <f t="shared" si="2"/>
        <v/>
      </c>
      <c r="I36" s="17" t="str">
        <f>IF(ROW()&gt;=5, ROUNDUP(SUM($C$8:INDEX($C:$C, ROW()))/$D$4 * 100, 2) &amp; "%", "")</f>
        <v>40.71%</v>
      </c>
      <c r="J36" s="26"/>
      <c r="K36" s="26"/>
    </row>
    <row r="37" spans="1:11" x14ac:dyDescent="0.25">
      <c r="A37" s="14">
        <v>27</v>
      </c>
      <c r="B37" s="9">
        <v>730740</v>
      </c>
      <c r="C37" s="10"/>
      <c r="D37" s="15"/>
      <c r="E37" s="16"/>
      <c r="F37" s="15"/>
      <c r="G37" s="16"/>
      <c r="H37" s="23" t="str">
        <f t="shared" si="2"/>
        <v/>
      </c>
      <c r="I37" s="17" t="str">
        <f>IF(ROW()&gt;=5, ROUNDUP(SUM($C$8:INDEX($C:$C, ROW()))/$D$4 * 100, 2) &amp; "%", "")</f>
        <v>40.71%</v>
      </c>
      <c r="J37" s="26"/>
      <c r="K37" s="26"/>
    </row>
    <row r="38" spans="1:11" x14ac:dyDescent="0.25">
      <c r="A38" s="14">
        <v>28</v>
      </c>
      <c r="B38" s="9">
        <v>775200</v>
      </c>
      <c r="C38" s="10"/>
      <c r="D38" s="15"/>
      <c r="E38" s="16"/>
      <c r="F38" s="15"/>
      <c r="G38" s="16"/>
      <c r="H38" s="23" t="str">
        <f t="shared" si="2"/>
        <v/>
      </c>
      <c r="I38" s="17" t="str">
        <f>IF(ROW()&gt;=5, ROUNDUP(SUM($C$8:INDEX($C:$C, ROW()))/$D$4 * 100, 2) &amp; "%", "")</f>
        <v>40.71%</v>
      </c>
      <c r="J38" s="26"/>
      <c r="K38" s="26"/>
    </row>
    <row r="39" spans="1:11" x14ac:dyDescent="0.25">
      <c r="A39" s="20"/>
      <c r="B39" s="21"/>
      <c r="C39" s="21"/>
      <c r="D39" s="21"/>
      <c r="E39" s="21"/>
      <c r="F39" s="21"/>
      <c r="G39" s="21"/>
      <c r="H39" s="24" t="str">
        <f t="shared" si="2"/>
        <v/>
      </c>
      <c r="I39" s="24"/>
      <c r="J39" s="22"/>
      <c r="K39" s="18"/>
    </row>
    <row r="40" spans="1:11" x14ac:dyDescent="0.25">
      <c r="A40" s="14">
        <v>29</v>
      </c>
      <c r="B40" s="9">
        <v>736168.62</v>
      </c>
      <c r="C40" s="10"/>
      <c r="D40" s="15"/>
      <c r="E40" s="16"/>
      <c r="F40" s="15"/>
      <c r="G40" s="16"/>
      <c r="H40" s="23" t="str">
        <f t="shared" si="2"/>
        <v/>
      </c>
      <c r="I40" s="17" t="str">
        <f>IF(ROW()&gt;=5, ROUNDUP(SUM($C$8:INDEX($C:$C, ROW()))/$D$4 * 100, 2) &amp; "%", "")</f>
        <v>40.71%</v>
      </c>
      <c r="J40" s="26">
        <f>SUM(B40:B42)</f>
        <v>2188528.62</v>
      </c>
      <c r="K40" s="26">
        <f>SUM(C40:C42)-SUM(B40:B42)</f>
        <v>-2188528.62</v>
      </c>
    </row>
    <row r="41" spans="1:11" x14ac:dyDescent="0.25">
      <c r="A41" s="14">
        <v>30</v>
      </c>
      <c r="B41" s="9">
        <v>715920</v>
      </c>
      <c r="C41" s="10"/>
      <c r="D41" s="15"/>
      <c r="E41" s="16"/>
      <c r="F41" s="15"/>
      <c r="G41" s="16"/>
      <c r="H41" s="23" t="str">
        <f t="shared" si="2"/>
        <v/>
      </c>
      <c r="I41" s="17" t="str">
        <f>IF(ROW()&gt;=5, ROUNDUP(SUM($C$8:INDEX($C:$C, ROW()))/$D$4 * 100, 2) &amp; "%", "")</f>
        <v>40.71%</v>
      </c>
      <c r="J41" s="26"/>
      <c r="K41" s="26"/>
    </row>
    <row r="42" spans="1:11" x14ac:dyDescent="0.25">
      <c r="A42" s="14">
        <v>31</v>
      </c>
      <c r="B42" s="9">
        <v>736440</v>
      </c>
      <c r="C42" s="10"/>
      <c r="D42" s="15"/>
      <c r="E42" s="16"/>
      <c r="F42" s="15"/>
      <c r="G42" s="16"/>
      <c r="H42" s="23" t="str">
        <f t="shared" si="2"/>
        <v/>
      </c>
      <c r="I42" s="17" t="str">
        <f>IF(ROW()&gt;=5, ROUNDUP(SUM($C$8:INDEX($C:$C, ROW()))/$D$4 * 100, 2) &amp; "%", "")</f>
        <v>40.71%</v>
      </c>
      <c r="J42" s="26"/>
      <c r="K42" s="26"/>
    </row>
  </sheetData>
  <mergeCells count="14">
    <mergeCell ref="B1:J2"/>
    <mergeCell ref="J24:J30"/>
    <mergeCell ref="J32:J38"/>
    <mergeCell ref="J40:J42"/>
    <mergeCell ref="A4:C5"/>
    <mergeCell ref="D4:G5"/>
    <mergeCell ref="H4:I5"/>
    <mergeCell ref="J8:J14"/>
    <mergeCell ref="J16:J22"/>
    <mergeCell ref="K8:K14"/>
    <mergeCell ref="K16:K22"/>
    <mergeCell ref="K24:K30"/>
    <mergeCell ref="K32:K38"/>
    <mergeCell ref="K40:K42"/>
  </mergeCells>
  <conditionalFormatting sqref="H8:H14 H16:H22 H24:H30 H32:H38 H40:H42">
    <cfRule type="expression" dxfId="13" priority="14">
      <formula>($C8/$B8)&lt;1</formula>
    </cfRule>
    <cfRule type="expression" dxfId="12" priority="15">
      <formula>($C8/$B8)&gt;=1</formula>
    </cfRule>
  </conditionalFormatting>
  <conditionalFormatting sqref="J8:J14">
    <cfRule type="expression" dxfId="11" priority="12">
      <formula>SUM($B8:$B14)&gt;SUM($C8:$C14)</formula>
    </cfRule>
    <cfRule type="expression" dxfId="10" priority="13">
      <formula>SUM($B8:$B14)&lt;SUM($C8:$C14)</formula>
    </cfRule>
  </conditionalFormatting>
  <conditionalFormatting sqref="J16:J22">
    <cfRule type="expression" dxfId="9" priority="10">
      <formula>SUM($B16:$B22)&gt;SUM($C16:$C22)</formula>
    </cfRule>
    <cfRule type="expression" dxfId="8" priority="11">
      <formula>SUM($B16:$B22)&lt;SUM($C16:$C22)</formula>
    </cfRule>
  </conditionalFormatting>
  <conditionalFormatting sqref="J24:J30">
    <cfRule type="expression" dxfId="7" priority="8">
      <formula>SUM($B24:$B30)&gt;SUM($C24:$C30)</formula>
    </cfRule>
    <cfRule type="expression" dxfId="6" priority="9">
      <formula>SUM($B24:$B30)&lt;SUM($C24:$C30)</formula>
    </cfRule>
  </conditionalFormatting>
  <conditionalFormatting sqref="J32:J38">
    <cfRule type="expression" dxfId="5" priority="6">
      <formula>SUM($B32:$B38)&gt;SUM($C32:$C38)</formula>
    </cfRule>
    <cfRule type="expression" dxfId="4" priority="7">
      <formula>SUM($B32:$B38)&lt;SUM($C32:$C38)</formula>
    </cfRule>
  </conditionalFormatting>
  <conditionalFormatting sqref="J40:J42">
    <cfRule type="expression" dxfId="3" priority="4">
      <formula>SUM($B40:$B46)&gt;SUM($C40:$C46)</formula>
    </cfRule>
    <cfRule type="expression" dxfId="2" priority="5">
      <formula>SUM($B40:$B46)&lt;SUM($C40:$C46)</formula>
    </cfRule>
  </conditionalFormatting>
  <conditionalFormatting sqref="D4:G5">
    <cfRule type="expression" dxfId="1" priority="3">
      <formula>$D$4&lt;SUM(C4:C34)</formula>
    </cfRule>
    <cfRule type="expression" dxfId="0" priority="1">
      <formula>OR(D4="", D4=0)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FullSheetThenClear_MergedSafe">
                <anchor moveWithCells="1" sizeWithCells="1">
                  <from>
                    <xdr:col>9</xdr:col>
                    <xdr:colOff>133350</xdr:colOff>
                    <xdr:row>0</xdr:row>
                    <xdr:rowOff>133350</xdr:rowOff>
                  </from>
                  <to>
                    <xdr:col>10</xdr:col>
                    <xdr:colOff>1085850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3:G12"/>
  <sheetViews>
    <sheetView tabSelected="1" workbookViewId="0">
      <selection activeCell="G12" sqref="F4:G12"/>
    </sheetView>
  </sheetViews>
  <sheetFormatPr defaultRowHeight="15" x14ac:dyDescent="0.25"/>
  <cols>
    <col min="6" max="6" width="63.7109375" bestFit="1" customWidth="1"/>
    <col min="7" max="7" width="35.85546875" customWidth="1"/>
  </cols>
  <sheetData>
    <row r="3" spans="6:7" ht="15.75" thickBot="1" x14ac:dyDescent="0.3"/>
    <row r="4" spans="6:7" ht="33" customHeight="1" thickBot="1" x14ac:dyDescent="0.3">
      <c r="F4" s="1" t="s">
        <v>5</v>
      </c>
      <c r="G4" s="7" t="str">
        <f ca="1">TEXT(TODAY(), "yyyy.mm.dd")</f>
        <v>2025.08.13</v>
      </c>
    </row>
    <row r="5" spans="6:7" ht="30" customHeight="1" thickBot="1" x14ac:dyDescent="0.3">
      <c r="F5" s="2" t="s">
        <v>0</v>
      </c>
      <c r="G5" s="5">
        <v>720018.41</v>
      </c>
    </row>
    <row r="6" spans="6:7" ht="30" customHeight="1" thickBot="1" x14ac:dyDescent="0.3">
      <c r="F6" s="2" t="s">
        <v>1</v>
      </c>
      <c r="G6" s="5">
        <v>877800</v>
      </c>
    </row>
    <row r="7" spans="6:7" ht="30" customHeight="1" thickBot="1" x14ac:dyDescent="0.3">
      <c r="F7" s="2" t="s">
        <v>3</v>
      </c>
      <c r="G7" s="12">
        <v>85.814551153699469</v>
      </c>
    </row>
    <row r="8" spans="6:7" ht="30" customHeight="1" thickBot="1" x14ac:dyDescent="0.3">
      <c r="F8" s="2" t="s">
        <v>4</v>
      </c>
      <c r="G8" s="4">
        <v>0.4</v>
      </c>
    </row>
    <row r="9" spans="6:7" ht="30" customHeight="1" thickBot="1" x14ac:dyDescent="0.3">
      <c r="F9" s="2" t="s">
        <v>8</v>
      </c>
      <c r="G9" s="3" t="s">
        <v>28</v>
      </c>
    </row>
    <row r="10" spans="6:7" ht="30" customHeight="1" thickBot="1" x14ac:dyDescent="0.3">
      <c r="F10" s="2" t="s">
        <v>7</v>
      </c>
      <c r="G10" s="3">
        <v>6</v>
      </c>
    </row>
    <row r="11" spans="6:7" ht="30" customHeight="1" thickBot="1" x14ac:dyDescent="0.3">
      <c r="F11" s="2" t="s">
        <v>6</v>
      </c>
      <c r="G11" s="3">
        <v>134</v>
      </c>
    </row>
    <row r="12" spans="6:7" ht="29.45" customHeight="1" thickBot="1" x14ac:dyDescent="0.3">
      <c r="F12" s="2" t="s">
        <v>2</v>
      </c>
      <c r="G12" s="3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orningMsg_TodayYesterday_Achievement">
                <anchor moveWithCells="1" sizeWithCells="1">
                  <from>
                    <xdr:col>0</xdr:col>
                    <xdr:colOff>200025</xdr:colOff>
                    <xdr:row>1</xdr:row>
                    <xdr:rowOff>171450</xdr:rowOff>
                  </from>
                  <to>
                    <xdr:col>4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Morning Msg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FLi Super</cp:lastModifiedBy>
  <dcterms:created xsi:type="dcterms:W3CDTF">2025-01-12T19:07:55Z</dcterms:created>
  <dcterms:modified xsi:type="dcterms:W3CDTF">2025-08-13T04:16:53Z</dcterms:modified>
</cp:coreProperties>
</file>